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B1B396-AA48-47F4-8A36-BE575766BEEC}" xr6:coauthVersionLast="36" xr6:coauthVersionMax="47" xr10:uidLastSave="{00000000-0000-0000-0000-000000000000}"/>
  <bookViews>
    <workbookView xWindow="0" yWindow="0" windowWidth="28800" windowHeight="11925" xr2:uid="{00000000-000D-0000-FFFF-FFFF00000000}"/>
  </bookViews>
  <sheets>
    <sheet name="Sheet1" sheetId="1" r:id="rId1"/>
    <sheet name="Seizing " sheetId="2" r:id="rId2"/>
  </sheets>
  <externalReferences>
    <externalReference r:id="rId3"/>
  </externalReferences>
  <definedNames>
    <definedName name="_xlnm._FilterDatabase" localSheetId="0" hidden="1">Sheet1!$A$2:$AF$166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" i="2" l="1"/>
  <c r="M40" i="2"/>
  <c r="M39" i="2"/>
  <c r="M36" i="2"/>
  <c r="M35" i="2"/>
  <c r="M33" i="2"/>
  <c r="M32" i="2"/>
  <c r="M31" i="2"/>
  <c r="M30" i="2"/>
  <c r="M26" i="2"/>
  <c r="M27" i="2"/>
  <c r="M28" i="2"/>
  <c r="M25" i="2"/>
  <c r="M24" i="2"/>
  <c r="M22" i="2"/>
  <c r="M21" i="2"/>
  <c r="M19" i="2"/>
  <c r="M18" i="2"/>
  <c r="M17" i="2"/>
  <c r="M16" i="2"/>
  <c r="M15" i="2"/>
  <c r="M14" i="2"/>
  <c r="M13" i="2"/>
  <c r="M6" i="2"/>
  <c r="M7" i="2"/>
  <c r="M8" i="2"/>
  <c r="M9" i="2"/>
  <c r="M10" i="2"/>
  <c r="M11" i="2"/>
  <c r="M5" i="2"/>
  <c r="K34" i="2"/>
  <c r="K29" i="2"/>
  <c r="K23" i="2"/>
  <c r="K20" i="2"/>
  <c r="K12" i="2"/>
  <c r="K4" i="2"/>
  <c r="J34" i="2"/>
  <c r="I34" i="2"/>
  <c r="H34" i="2"/>
  <c r="G34" i="2"/>
  <c r="J29" i="2"/>
  <c r="I29" i="2"/>
  <c r="H29" i="2"/>
  <c r="G29" i="2"/>
  <c r="J23" i="2"/>
  <c r="I23" i="2"/>
  <c r="H23" i="2"/>
  <c r="G23" i="2"/>
  <c r="J20" i="2"/>
  <c r="I20" i="2"/>
  <c r="H20" i="2"/>
  <c r="G20" i="2"/>
  <c r="J12" i="2"/>
  <c r="I12" i="2"/>
  <c r="H12" i="2"/>
  <c r="G12" i="2"/>
  <c r="J4" i="2"/>
  <c r="I4" i="2"/>
  <c r="H4" i="2"/>
  <c r="G4" i="2"/>
  <c r="M34" i="2" l="1"/>
  <c r="K37" i="2"/>
  <c r="K42" i="2" s="1"/>
  <c r="M4" i="2"/>
  <c r="G37" i="2"/>
  <c r="G42" i="2" s="1"/>
  <c r="H37" i="2"/>
  <c r="H42" i="2" s="1"/>
  <c r="M12" i="2"/>
  <c r="M20" i="2"/>
  <c r="M23" i="2"/>
  <c r="M29" i="2"/>
  <c r="I37" i="2"/>
  <c r="I42" i="2" s="1"/>
  <c r="J37" i="2"/>
  <c r="J42" i="2" s="1"/>
  <c r="AC165" i="1"/>
  <c r="AB165" i="1"/>
  <c r="AC164" i="1"/>
  <c r="AB164" i="1"/>
  <c r="AC163" i="1"/>
  <c r="AB163" i="1"/>
  <c r="AC162" i="1"/>
  <c r="AB162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2" i="1"/>
  <c r="AB152" i="1"/>
  <c r="AC151" i="1"/>
  <c r="AB151" i="1"/>
  <c r="AC150" i="1"/>
  <c r="AB150" i="1"/>
  <c r="AC149" i="1"/>
  <c r="AB149" i="1"/>
  <c r="AC148" i="1"/>
  <c r="AB148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3" i="1"/>
  <c r="AB123" i="1"/>
  <c r="AC122" i="1"/>
  <c r="AB122" i="1"/>
  <c r="AC121" i="1"/>
  <c r="AB121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C108" i="1"/>
  <c r="AB108" i="1"/>
  <c r="AC107" i="1"/>
  <c r="AB107" i="1"/>
  <c r="AC106" i="1"/>
  <c r="AB106" i="1"/>
  <c r="AC105" i="1"/>
  <c r="AB105" i="1"/>
  <c r="AC103" i="1"/>
  <c r="AB103" i="1"/>
  <c r="AC102" i="1"/>
  <c r="AB102" i="1"/>
  <c r="AC101" i="1"/>
  <c r="AB101" i="1"/>
  <c r="AC100" i="1"/>
  <c r="AB100" i="1"/>
  <c r="AC99" i="1"/>
  <c r="AB99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79" i="1"/>
  <c r="AB79" i="1"/>
  <c r="AC78" i="1"/>
  <c r="AB78" i="1"/>
  <c r="AC77" i="1"/>
  <c r="AB77" i="1"/>
  <c r="AC76" i="1"/>
  <c r="AB76" i="1"/>
  <c r="AC74" i="1"/>
  <c r="AB74" i="1"/>
  <c r="AC73" i="1"/>
  <c r="AB73" i="1"/>
  <c r="AC72" i="1"/>
  <c r="AB72" i="1"/>
  <c r="AC71" i="1"/>
  <c r="AB71" i="1"/>
  <c r="AC70" i="1"/>
  <c r="AB70" i="1"/>
  <c r="AC67" i="1"/>
  <c r="AB67" i="1"/>
  <c r="AC65" i="1"/>
  <c r="AB65" i="1"/>
  <c r="AC64" i="1"/>
  <c r="AB64" i="1"/>
  <c r="AC63" i="1"/>
  <c r="AB63" i="1"/>
  <c r="AC62" i="1"/>
  <c r="AB62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3" i="1"/>
  <c r="AB53" i="1"/>
  <c r="AC52" i="1"/>
  <c r="AB52" i="1"/>
  <c r="AC51" i="1"/>
  <c r="AB51" i="1"/>
  <c r="AC49" i="1"/>
  <c r="AB49" i="1"/>
  <c r="AC48" i="1"/>
  <c r="AB48" i="1"/>
  <c r="AC47" i="1"/>
  <c r="AB47" i="1"/>
  <c r="AC46" i="1"/>
  <c r="AB46" i="1"/>
  <c r="AC45" i="1"/>
  <c r="AB45" i="1"/>
  <c r="AC43" i="1"/>
  <c r="AB43" i="1"/>
  <c r="AC42" i="1"/>
  <c r="AB42" i="1"/>
  <c r="AC41" i="1"/>
  <c r="AB41" i="1"/>
  <c r="AC40" i="1"/>
  <c r="AB40" i="1"/>
  <c r="AC38" i="1"/>
  <c r="AB38" i="1"/>
  <c r="AC37" i="1"/>
  <c r="AB37" i="1"/>
  <c r="AC36" i="1"/>
  <c r="AB36" i="1"/>
  <c r="AC33" i="1"/>
  <c r="AB33" i="1"/>
  <c r="AC32" i="1"/>
  <c r="AB32" i="1"/>
  <c r="AC31" i="1"/>
  <c r="AB31" i="1"/>
  <c r="AC30" i="1"/>
  <c r="AB30" i="1"/>
  <c r="AC29" i="1"/>
  <c r="AB29" i="1"/>
  <c r="AC27" i="1"/>
  <c r="AB27" i="1"/>
  <c r="AC26" i="1"/>
  <c r="AB26" i="1"/>
  <c r="AC25" i="1"/>
  <c r="AB25" i="1"/>
  <c r="AC23" i="1"/>
  <c r="AB23" i="1"/>
  <c r="AC22" i="1"/>
  <c r="AB22" i="1"/>
  <c r="AC21" i="1"/>
  <c r="AB21" i="1"/>
  <c r="AC20" i="1"/>
  <c r="AB20" i="1"/>
  <c r="AC18" i="1"/>
  <c r="AB18" i="1"/>
  <c r="AC17" i="1"/>
  <c r="AB17" i="1"/>
  <c r="AC16" i="1"/>
  <c r="AB16" i="1"/>
  <c r="AC15" i="1"/>
  <c r="AB15" i="1"/>
  <c r="AC13" i="1"/>
  <c r="AB13" i="1"/>
  <c r="AC11" i="1"/>
  <c r="AB11" i="1"/>
  <c r="AC9" i="1"/>
  <c r="AB9" i="1"/>
  <c r="AC8" i="1"/>
  <c r="AB8" i="1"/>
  <c r="AC7" i="1"/>
  <c r="AB7" i="1"/>
  <c r="AC6" i="1"/>
  <c r="AB6" i="1"/>
  <c r="AC5" i="1"/>
  <c r="AB5" i="1"/>
  <c r="X165" i="1"/>
  <c r="W165" i="1"/>
  <c r="X164" i="1"/>
  <c r="W164" i="1"/>
  <c r="X163" i="1"/>
  <c r="W163" i="1"/>
  <c r="X162" i="1"/>
  <c r="W162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2" i="1"/>
  <c r="W152" i="1"/>
  <c r="X151" i="1"/>
  <c r="W151" i="1"/>
  <c r="X150" i="1"/>
  <c r="W150" i="1"/>
  <c r="X149" i="1"/>
  <c r="W149" i="1"/>
  <c r="X148" i="1"/>
  <c r="W148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3" i="1"/>
  <c r="W123" i="1"/>
  <c r="X122" i="1"/>
  <c r="W122" i="1"/>
  <c r="X121" i="1"/>
  <c r="W121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8" i="1"/>
  <c r="W108" i="1"/>
  <c r="X107" i="1"/>
  <c r="W107" i="1"/>
  <c r="X106" i="1"/>
  <c r="W106" i="1"/>
  <c r="X105" i="1"/>
  <c r="W105" i="1"/>
  <c r="X103" i="1"/>
  <c r="W103" i="1"/>
  <c r="X102" i="1"/>
  <c r="W102" i="1"/>
  <c r="X101" i="1"/>
  <c r="W101" i="1"/>
  <c r="X100" i="1"/>
  <c r="W100" i="1"/>
  <c r="X99" i="1"/>
  <c r="W99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79" i="1"/>
  <c r="W79" i="1"/>
  <c r="X78" i="1"/>
  <c r="W78" i="1"/>
  <c r="X77" i="1"/>
  <c r="W77" i="1"/>
  <c r="X76" i="1"/>
  <c r="W76" i="1"/>
  <c r="X74" i="1"/>
  <c r="W74" i="1"/>
  <c r="X73" i="1"/>
  <c r="W73" i="1"/>
  <c r="X72" i="1"/>
  <c r="W72" i="1"/>
  <c r="X71" i="1"/>
  <c r="W71" i="1"/>
  <c r="X70" i="1"/>
  <c r="W70" i="1"/>
  <c r="X67" i="1"/>
  <c r="W67" i="1"/>
  <c r="X65" i="1"/>
  <c r="W65" i="1"/>
  <c r="X64" i="1"/>
  <c r="W64" i="1"/>
  <c r="X63" i="1"/>
  <c r="W63" i="1"/>
  <c r="X62" i="1"/>
  <c r="W62" i="1"/>
  <c r="X60" i="1"/>
  <c r="W60" i="1"/>
  <c r="X59" i="1"/>
  <c r="W59" i="1"/>
  <c r="X58" i="1"/>
  <c r="W58" i="1"/>
  <c r="X57" i="1"/>
  <c r="W57" i="1"/>
  <c r="X56" i="1"/>
  <c r="W56" i="1"/>
  <c r="X55" i="1"/>
  <c r="W55" i="1"/>
  <c r="X53" i="1"/>
  <c r="W53" i="1"/>
  <c r="X52" i="1"/>
  <c r="W52" i="1"/>
  <c r="X51" i="1"/>
  <c r="W51" i="1"/>
  <c r="X49" i="1"/>
  <c r="W49" i="1"/>
  <c r="X48" i="1"/>
  <c r="W48" i="1"/>
  <c r="X47" i="1"/>
  <c r="W47" i="1"/>
  <c r="X46" i="1"/>
  <c r="W46" i="1"/>
  <c r="X45" i="1"/>
  <c r="W45" i="1"/>
  <c r="X43" i="1"/>
  <c r="W43" i="1"/>
  <c r="X42" i="1"/>
  <c r="W42" i="1"/>
  <c r="X41" i="1"/>
  <c r="W41" i="1"/>
  <c r="X40" i="1"/>
  <c r="W40" i="1"/>
  <c r="X38" i="1"/>
  <c r="W38" i="1"/>
  <c r="X37" i="1"/>
  <c r="W37" i="1"/>
  <c r="X36" i="1"/>
  <c r="W36" i="1"/>
  <c r="X33" i="1"/>
  <c r="W33" i="1"/>
  <c r="X32" i="1"/>
  <c r="W32" i="1"/>
  <c r="X31" i="1"/>
  <c r="W31" i="1"/>
  <c r="X30" i="1"/>
  <c r="W30" i="1"/>
  <c r="X29" i="1"/>
  <c r="W29" i="1"/>
  <c r="X27" i="1"/>
  <c r="W27" i="1"/>
  <c r="X26" i="1"/>
  <c r="W26" i="1"/>
  <c r="X25" i="1"/>
  <c r="W25" i="1"/>
  <c r="X23" i="1"/>
  <c r="W23" i="1"/>
  <c r="X22" i="1"/>
  <c r="W22" i="1"/>
  <c r="X21" i="1"/>
  <c r="W21" i="1"/>
  <c r="X20" i="1"/>
  <c r="W20" i="1"/>
  <c r="X18" i="1"/>
  <c r="W18" i="1"/>
  <c r="X17" i="1"/>
  <c r="W17" i="1"/>
  <c r="X16" i="1"/>
  <c r="W16" i="1"/>
  <c r="X15" i="1"/>
  <c r="W15" i="1"/>
  <c r="X13" i="1"/>
  <c r="W13" i="1"/>
  <c r="X11" i="1"/>
  <c r="W11" i="1"/>
  <c r="X9" i="1"/>
  <c r="W9" i="1"/>
  <c r="X8" i="1"/>
  <c r="W8" i="1"/>
  <c r="X7" i="1"/>
  <c r="W7" i="1"/>
  <c r="X6" i="1"/>
  <c r="W6" i="1"/>
  <c r="X5" i="1"/>
  <c r="W5" i="1"/>
  <c r="G165" i="1"/>
  <c r="F165" i="1"/>
  <c r="K165" i="1" s="1"/>
  <c r="G164" i="1"/>
  <c r="F164" i="1"/>
  <c r="K164" i="1" s="1"/>
  <c r="G163" i="1"/>
  <c r="F163" i="1"/>
  <c r="K163" i="1" s="1"/>
  <c r="G162" i="1"/>
  <c r="F162" i="1"/>
  <c r="K162" i="1" s="1"/>
  <c r="G160" i="1"/>
  <c r="F160" i="1"/>
  <c r="K160" i="1" s="1"/>
  <c r="G159" i="1"/>
  <c r="F159" i="1"/>
  <c r="K159" i="1" s="1"/>
  <c r="G158" i="1"/>
  <c r="F158" i="1"/>
  <c r="K158" i="1" s="1"/>
  <c r="G157" i="1"/>
  <c r="F157" i="1"/>
  <c r="K157" i="1" s="1"/>
  <c r="G156" i="1"/>
  <c r="F156" i="1"/>
  <c r="K156" i="1" s="1"/>
  <c r="G155" i="1"/>
  <c r="F155" i="1"/>
  <c r="K155" i="1" s="1"/>
  <c r="G154" i="1"/>
  <c r="F154" i="1"/>
  <c r="K154" i="1" s="1"/>
  <c r="G152" i="1"/>
  <c r="F152" i="1"/>
  <c r="K152" i="1" s="1"/>
  <c r="G151" i="1"/>
  <c r="F151" i="1"/>
  <c r="K151" i="1" s="1"/>
  <c r="G150" i="1"/>
  <c r="F150" i="1"/>
  <c r="K150" i="1" s="1"/>
  <c r="G149" i="1"/>
  <c r="F149" i="1"/>
  <c r="K149" i="1" s="1"/>
  <c r="G148" i="1"/>
  <c r="F148" i="1"/>
  <c r="K148" i="1" s="1"/>
  <c r="G145" i="1"/>
  <c r="F145" i="1"/>
  <c r="K145" i="1" s="1"/>
  <c r="G144" i="1"/>
  <c r="F144" i="1"/>
  <c r="K144" i="1" s="1"/>
  <c r="G143" i="1"/>
  <c r="F143" i="1"/>
  <c r="K143" i="1" s="1"/>
  <c r="G142" i="1"/>
  <c r="F142" i="1"/>
  <c r="K142" i="1" s="1"/>
  <c r="G141" i="1"/>
  <c r="F141" i="1"/>
  <c r="K141" i="1" s="1"/>
  <c r="G140" i="1"/>
  <c r="F140" i="1"/>
  <c r="K140" i="1" s="1"/>
  <c r="G138" i="1"/>
  <c r="F138" i="1"/>
  <c r="K138" i="1" s="1"/>
  <c r="G137" i="1"/>
  <c r="F137" i="1"/>
  <c r="K137" i="1" s="1"/>
  <c r="G136" i="1"/>
  <c r="F136" i="1"/>
  <c r="K136" i="1" s="1"/>
  <c r="G135" i="1"/>
  <c r="F135" i="1"/>
  <c r="K135" i="1" s="1"/>
  <c r="G134" i="1"/>
  <c r="F134" i="1"/>
  <c r="K134" i="1" s="1"/>
  <c r="G133" i="1"/>
  <c r="F133" i="1"/>
  <c r="K133" i="1" s="1"/>
  <c r="G131" i="1"/>
  <c r="F131" i="1"/>
  <c r="K131" i="1" s="1"/>
  <c r="G130" i="1"/>
  <c r="F130" i="1"/>
  <c r="K130" i="1" s="1"/>
  <c r="G129" i="1"/>
  <c r="F129" i="1"/>
  <c r="K129" i="1" s="1"/>
  <c r="G128" i="1"/>
  <c r="F128" i="1"/>
  <c r="K128" i="1" s="1"/>
  <c r="G127" i="1"/>
  <c r="F127" i="1"/>
  <c r="K127" i="1" s="1"/>
  <c r="G126" i="1"/>
  <c r="F126" i="1"/>
  <c r="K126" i="1" s="1"/>
  <c r="G125" i="1"/>
  <c r="F125" i="1"/>
  <c r="K125" i="1" s="1"/>
  <c r="G123" i="1"/>
  <c r="F123" i="1"/>
  <c r="K123" i="1" s="1"/>
  <c r="G122" i="1"/>
  <c r="F122" i="1"/>
  <c r="K122" i="1" s="1"/>
  <c r="G121" i="1"/>
  <c r="F121" i="1"/>
  <c r="K121" i="1" s="1"/>
  <c r="G118" i="1"/>
  <c r="F118" i="1"/>
  <c r="K118" i="1" s="1"/>
  <c r="G117" i="1"/>
  <c r="F117" i="1"/>
  <c r="K117" i="1" s="1"/>
  <c r="G116" i="1"/>
  <c r="F116" i="1"/>
  <c r="K116" i="1" s="1"/>
  <c r="G115" i="1"/>
  <c r="F115" i="1"/>
  <c r="K115" i="1" s="1"/>
  <c r="G114" i="1"/>
  <c r="F114" i="1"/>
  <c r="K114" i="1" s="1"/>
  <c r="G113" i="1"/>
  <c r="F113" i="1"/>
  <c r="K113" i="1" s="1"/>
  <c r="G112" i="1"/>
  <c r="F112" i="1"/>
  <c r="K112" i="1" s="1"/>
  <c r="G111" i="1"/>
  <c r="F111" i="1"/>
  <c r="K111" i="1" s="1"/>
  <c r="G110" i="1"/>
  <c r="F110" i="1"/>
  <c r="K110" i="1" s="1"/>
  <c r="G108" i="1"/>
  <c r="F108" i="1"/>
  <c r="K108" i="1" s="1"/>
  <c r="G107" i="1"/>
  <c r="F107" i="1"/>
  <c r="K107" i="1" s="1"/>
  <c r="G106" i="1"/>
  <c r="F106" i="1"/>
  <c r="K106" i="1" s="1"/>
  <c r="G105" i="1"/>
  <c r="F105" i="1"/>
  <c r="K105" i="1" s="1"/>
  <c r="G103" i="1"/>
  <c r="F103" i="1"/>
  <c r="K103" i="1" s="1"/>
  <c r="G102" i="1"/>
  <c r="F102" i="1"/>
  <c r="K102" i="1" s="1"/>
  <c r="G101" i="1"/>
  <c r="F101" i="1"/>
  <c r="K101" i="1" s="1"/>
  <c r="G100" i="1"/>
  <c r="F100" i="1"/>
  <c r="K100" i="1" s="1"/>
  <c r="G99" i="1"/>
  <c r="F99" i="1"/>
  <c r="K99" i="1" s="1"/>
  <c r="G97" i="1"/>
  <c r="F97" i="1"/>
  <c r="K97" i="1" s="1"/>
  <c r="G96" i="1"/>
  <c r="F96" i="1"/>
  <c r="K96" i="1" s="1"/>
  <c r="G95" i="1"/>
  <c r="F95" i="1"/>
  <c r="K95" i="1" s="1"/>
  <c r="G94" i="1"/>
  <c r="F94" i="1"/>
  <c r="K94" i="1" s="1"/>
  <c r="G93" i="1"/>
  <c r="F93" i="1"/>
  <c r="K93" i="1" s="1"/>
  <c r="G92" i="1"/>
  <c r="F92" i="1"/>
  <c r="K92" i="1" s="1"/>
  <c r="G91" i="1"/>
  <c r="F91" i="1"/>
  <c r="K91" i="1" s="1"/>
  <c r="G90" i="1"/>
  <c r="F90" i="1"/>
  <c r="K90" i="1" s="1"/>
  <c r="G88" i="1"/>
  <c r="F88" i="1"/>
  <c r="K88" i="1" s="1"/>
  <c r="G87" i="1"/>
  <c r="F87" i="1"/>
  <c r="K87" i="1" s="1"/>
  <c r="G86" i="1"/>
  <c r="F86" i="1"/>
  <c r="K86" i="1" s="1"/>
  <c r="G85" i="1"/>
  <c r="F85" i="1"/>
  <c r="K85" i="1" s="1"/>
  <c r="G84" i="1"/>
  <c r="F84" i="1"/>
  <c r="K84" i="1" s="1"/>
  <c r="G83" i="1"/>
  <c r="F83" i="1"/>
  <c r="K83" i="1" s="1"/>
  <c r="G82" i="1"/>
  <c r="F82" i="1"/>
  <c r="K82" i="1" s="1"/>
  <c r="G79" i="1"/>
  <c r="F79" i="1"/>
  <c r="K79" i="1" s="1"/>
  <c r="G78" i="1"/>
  <c r="F78" i="1"/>
  <c r="K78" i="1" s="1"/>
  <c r="G77" i="1"/>
  <c r="F77" i="1"/>
  <c r="K77" i="1" s="1"/>
  <c r="G76" i="1"/>
  <c r="F76" i="1"/>
  <c r="K76" i="1" s="1"/>
  <c r="G74" i="1"/>
  <c r="F74" i="1"/>
  <c r="K74" i="1" s="1"/>
  <c r="G73" i="1"/>
  <c r="F73" i="1"/>
  <c r="K73" i="1" s="1"/>
  <c r="G72" i="1"/>
  <c r="F72" i="1"/>
  <c r="K72" i="1" s="1"/>
  <c r="G71" i="1"/>
  <c r="F71" i="1"/>
  <c r="K71" i="1" s="1"/>
  <c r="G70" i="1"/>
  <c r="F70" i="1"/>
  <c r="K70" i="1" s="1"/>
  <c r="G67" i="1"/>
  <c r="F67" i="1"/>
  <c r="K67" i="1" s="1"/>
  <c r="G65" i="1"/>
  <c r="F65" i="1"/>
  <c r="K65" i="1" s="1"/>
  <c r="G64" i="1"/>
  <c r="F64" i="1"/>
  <c r="K64" i="1" s="1"/>
  <c r="G63" i="1"/>
  <c r="F63" i="1"/>
  <c r="K63" i="1" s="1"/>
  <c r="G62" i="1"/>
  <c r="F62" i="1"/>
  <c r="K62" i="1" s="1"/>
  <c r="G60" i="1"/>
  <c r="F60" i="1"/>
  <c r="K60" i="1" s="1"/>
  <c r="G59" i="1"/>
  <c r="F59" i="1"/>
  <c r="K59" i="1" s="1"/>
  <c r="G58" i="1"/>
  <c r="F58" i="1"/>
  <c r="K58" i="1" s="1"/>
  <c r="G57" i="1"/>
  <c r="F57" i="1"/>
  <c r="K57" i="1" s="1"/>
  <c r="G56" i="1"/>
  <c r="F56" i="1"/>
  <c r="K56" i="1" s="1"/>
  <c r="G55" i="1"/>
  <c r="F55" i="1"/>
  <c r="K55" i="1" s="1"/>
  <c r="G53" i="1"/>
  <c r="F53" i="1"/>
  <c r="K53" i="1" s="1"/>
  <c r="G52" i="1"/>
  <c r="F52" i="1"/>
  <c r="K52" i="1" s="1"/>
  <c r="G51" i="1"/>
  <c r="F51" i="1"/>
  <c r="K51" i="1" s="1"/>
  <c r="G49" i="1"/>
  <c r="F49" i="1"/>
  <c r="K49" i="1" s="1"/>
  <c r="G48" i="1"/>
  <c r="F48" i="1"/>
  <c r="K48" i="1" s="1"/>
  <c r="G47" i="1"/>
  <c r="F47" i="1"/>
  <c r="K47" i="1" s="1"/>
  <c r="G46" i="1"/>
  <c r="F46" i="1"/>
  <c r="K46" i="1" s="1"/>
  <c r="G45" i="1"/>
  <c r="F45" i="1"/>
  <c r="K45" i="1" s="1"/>
  <c r="G43" i="1"/>
  <c r="F43" i="1"/>
  <c r="K43" i="1" s="1"/>
  <c r="G42" i="1"/>
  <c r="F42" i="1"/>
  <c r="K42" i="1" s="1"/>
  <c r="G41" i="1"/>
  <c r="F41" i="1"/>
  <c r="K41" i="1" s="1"/>
  <c r="G40" i="1"/>
  <c r="F40" i="1"/>
  <c r="K40" i="1" s="1"/>
  <c r="G38" i="1"/>
  <c r="F38" i="1"/>
  <c r="K38" i="1" s="1"/>
  <c r="G37" i="1"/>
  <c r="F37" i="1"/>
  <c r="K37" i="1" s="1"/>
  <c r="G36" i="1"/>
  <c r="F36" i="1"/>
  <c r="K36" i="1" s="1"/>
  <c r="G33" i="1"/>
  <c r="F33" i="1"/>
  <c r="K33" i="1" s="1"/>
  <c r="G32" i="1"/>
  <c r="F32" i="1"/>
  <c r="K32" i="1" s="1"/>
  <c r="G31" i="1"/>
  <c r="F31" i="1"/>
  <c r="K31" i="1" s="1"/>
  <c r="G30" i="1"/>
  <c r="F30" i="1"/>
  <c r="K30" i="1" s="1"/>
  <c r="G29" i="1"/>
  <c r="F29" i="1"/>
  <c r="K29" i="1" s="1"/>
  <c r="G27" i="1"/>
  <c r="F27" i="1"/>
  <c r="K27" i="1" s="1"/>
  <c r="G26" i="1"/>
  <c r="F26" i="1"/>
  <c r="K26" i="1" s="1"/>
  <c r="G25" i="1"/>
  <c r="F25" i="1"/>
  <c r="K25" i="1" s="1"/>
  <c r="G23" i="1"/>
  <c r="F23" i="1"/>
  <c r="K23" i="1" s="1"/>
  <c r="G22" i="1"/>
  <c r="F22" i="1"/>
  <c r="K22" i="1" s="1"/>
  <c r="G21" i="1"/>
  <c r="F21" i="1"/>
  <c r="K21" i="1" s="1"/>
  <c r="G20" i="1"/>
  <c r="F20" i="1"/>
  <c r="K20" i="1" s="1"/>
  <c r="G18" i="1"/>
  <c r="F18" i="1"/>
  <c r="K18" i="1" s="1"/>
  <c r="G17" i="1"/>
  <c r="F17" i="1"/>
  <c r="K17" i="1" s="1"/>
  <c r="G16" i="1"/>
  <c r="F16" i="1"/>
  <c r="K16" i="1" s="1"/>
  <c r="G15" i="1"/>
  <c r="F15" i="1"/>
  <c r="K15" i="1" s="1"/>
  <c r="G13" i="1"/>
  <c r="F13" i="1"/>
  <c r="K13" i="1" s="1"/>
  <c r="G11" i="1"/>
  <c r="F11" i="1"/>
  <c r="K11" i="1" s="1"/>
  <c r="G9" i="1"/>
  <c r="F9" i="1"/>
  <c r="K9" i="1" s="1"/>
  <c r="G8" i="1"/>
  <c r="F8" i="1"/>
  <c r="K8" i="1" s="1"/>
  <c r="G7" i="1"/>
  <c r="F7" i="1"/>
  <c r="K7" i="1" s="1"/>
  <c r="G6" i="1"/>
  <c r="F6" i="1"/>
  <c r="K6" i="1" s="1"/>
  <c r="G5" i="1"/>
  <c r="F5" i="1"/>
  <c r="K5" i="1" s="1"/>
  <c r="M42" i="2" l="1"/>
  <c r="M37" i="2"/>
  <c r="L139" i="1"/>
  <c r="C139" i="1"/>
  <c r="G139" i="1" l="1"/>
  <c r="C33" i="2" s="1"/>
  <c r="F139" i="1"/>
  <c r="B33" i="2" s="1"/>
  <c r="N162" i="1"/>
  <c r="L161" i="1"/>
  <c r="C161" i="1"/>
  <c r="N159" i="1"/>
  <c r="M159" i="1"/>
  <c r="N158" i="1"/>
  <c r="I155" i="1"/>
  <c r="M155" i="1"/>
  <c r="L153" i="1"/>
  <c r="C153" i="1"/>
  <c r="N152" i="1"/>
  <c r="M151" i="1"/>
  <c r="M149" i="1"/>
  <c r="L147" i="1"/>
  <c r="C147" i="1"/>
  <c r="AB139" i="1"/>
  <c r="H140" i="1"/>
  <c r="N140" i="1"/>
  <c r="H137" i="1"/>
  <c r="N136" i="1"/>
  <c r="N135" i="1"/>
  <c r="L132" i="1"/>
  <c r="C132" i="1"/>
  <c r="N131" i="1"/>
  <c r="H130" i="1"/>
  <c r="N128" i="1"/>
  <c r="N126" i="1"/>
  <c r="L124" i="1"/>
  <c r="C124" i="1"/>
  <c r="N122" i="1"/>
  <c r="L120" i="1"/>
  <c r="C120" i="1"/>
  <c r="I118" i="1"/>
  <c r="N118" i="1"/>
  <c r="M116" i="1"/>
  <c r="M115" i="1"/>
  <c r="N114" i="1"/>
  <c r="N111" i="1"/>
  <c r="L109" i="1"/>
  <c r="C109" i="1"/>
  <c r="I107" i="1"/>
  <c r="N106" i="1"/>
  <c r="N105" i="1"/>
  <c r="L104" i="1"/>
  <c r="C104" i="1"/>
  <c r="H103" i="1"/>
  <c r="N102" i="1"/>
  <c r="N101" i="1"/>
  <c r="N100" i="1"/>
  <c r="L98" i="1"/>
  <c r="C98" i="1"/>
  <c r="N97" i="1"/>
  <c r="N96" i="1"/>
  <c r="N91" i="1"/>
  <c r="L89" i="1"/>
  <c r="C89" i="1"/>
  <c r="H86" i="1"/>
  <c r="I85" i="1"/>
  <c r="N85" i="1"/>
  <c r="N84" i="1"/>
  <c r="N83" i="1"/>
  <c r="L81" i="1"/>
  <c r="C81" i="1"/>
  <c r="N78" i="1"/>
  <c r="N76" i="1"/>
  <c r="L75" i="1"/>
  <c r="C75" i="1"/>
  <c r="N74" i="1"/>
  <c r="L69" i="1"/>
  <c r="C69" i="1"/>
  <c r="X66" i="1"/>
  <c r="G66" i="1"/>
  <c r="C19" i="2" s="1"/>
  <c r="N67" i="1"/>
  <c r="L66" i="1"/>
  <c r="C66" i="1"/>
  <c r="I65" i="1"/>
  <c r="N65" i="1"/>
  <c r="N64" i="1"/>
  <c r="N63" i="1"/>
  <c r="L61" i="1"/>
  <c r="C61" i="1"/>
  <c r="N60" i="1"/>
  <c r="N56" i="1"/>
  <c r="M56" i="1"/>
  <c r="L54" i="1"/>
  <c r="C54" i="1"/>
  <c r="N51" i="1"/>
  <c r="L50" i="1"/>
  <c r="C50" i="1"/>
  <c r="N48" i="1"/>
  <c r="M46" i="1"/>
  <c r="L44" i="1"/>
  <c r="C44" i="1"/>
  <c r="N42" i="1"/>
  <c r="N41" i="1"/>
  <c r="N40" i="1"/>
  <c r="L39" i="1"/>
  <c r="C39" i="1"/>
  <c r="M37" i="1"/>
  <c r="L35" i="1"/>
  <c r="C35" i="1"/>
  <c r="N32" i="1"/>
  <c r="N31" i="1"/>
  <c r="N30" i="1"/>
  <c r="L28" i="1"/>
  <c r="C28" i="1"/>
  <c r="N27" i="1"/>
  <c r="N26" i="1"/>
  <c r="N25" i="1"/>
  <c r="L24" i="1"/>
  <c r="C24" i="1"/>
  <c r="N23" i="1"/>
  <c r="M22" i="1"/>
  <c r="M21" i="1"/>
  <c r="L19" i="1"/>
  <c r="C19" i="1"/>
  <c r="N18" i="1"/>
  <c r="M17" i="1"/>
  <c r="N16" i="1"/>
  <c r="N15" i="1"/>
  <c r="L14" i="1"/>
  <c r="C14" i="1"/>
  <c r="W12" i="1"/>
  <c r="G12" i="1"/>
  <c r="C7" i="2" s="1"/>
  <c r="N13" i="1"/>
  <c r="L12" i="1"/>
  <c r="C12" i="1"/>
  <c r="AB10" i="1"/>
  <c r="W10" i="1"/>
  <c r="G10" i="1"/>
  <c r="C6" i="2" s="1"/>
  <c r="N11" i="1"/>
  <c r="L10" i="1"/>
  <c r="C10" i="1"/>
  <c r="N9" i="1"/>
  <c r="N8" i="1"/>
  <c r="N7" i="1"/>
  <c r="M6" i="1"/>
  <c r="L4" i="1"/>
  <c r="C4" i="1"/>
  <c r="D33" i="2" l="1"/>
  <c r="E33" i="2"/>
  <c r="X139" i="1"/>
  <c r="L146" i="1"/>
  <c r="AC139" i="1"/>
  <c r="AE139" i="1" s="1"/>
  <c r="W139" i="1"/>
  <c r="C146" i="1"/>
  <c r="AD163" i="1"/>
  <c r="Y144" i="1"/>
  <c r="AD141" i="1"/>
  <c r="Z22" i="1"/>
  <c r="AE38" i="1"/>
  <c r="AD47" i="1"/>
  <c r="AE125" i="1"/>
  <c r="Y133" i="1"/>
  <c r="AE164" i="1"/>
  <c r="Y134" i="1"/>
  <c r="AE18" i="1"/>
  <c r="Y111" i="1"/>
  <c r="AD94" i="1"/>
  <c r="AD116" i="1"/>
  <c r="AD164" i="1"/>
  <c r="AD107" i="1"/>
  <c r="AE11" i="1"/>
  <c r="Z82" i="1"/>
  <c r="AE117" i="1"/>
  <c r="Y143" i="1"/>
  <c r="C68" i="1"/>
  <c r="L68" i="1"/>
  <c r="Z118" i="1"/>
  <c r="AE55" i="1"/>
  <c r="Z57" i="1"/>
  <c r="Y93" i="1"/>
  <c r="Z46" i="1"/>
  <c r="Y163" i="1"/>
  <c r="AE97" i="1"/>
  <c r="Y52" i="1"/>
  <c r="AE53" i="1"/>
  <c r="Y86" i="1"/>
  <c r="AD87" i="1"/>
  <c r="AD93" i="1"/>
  <c r="Y96" i="1"/>
  <c r="AD105" i="1"/>
  <c r="M114" i="1"/>
  <c r="AD143" i="1"/>
  <c r="H145" i="1"/>
  <c r="Z150" i="1"/>
  <c r="AD157" i="1"/>
  <c r="I160" i="1"/>
  <c r="I162" i="1"/>
  <c r="AD13" i="1"/>
  <c r="AD12" i="1" s="1"/>
  <c r="Y18" i="1"/>
  <c r="Z21" i="1"/>
  <c r="Z36" i="1"/>
  <c r="AE70" i="1"/>
  <c r="AE76" i="1"/>
  <c r="I78" i="1"/>
  <c r="Y85" i="1"/>
  <c r="AD86" i="1"/>
  <c r="AE115" i="1"/>
  <c r="Y140" i="1"/>
  <c r="AD142" i="1"/>
  <c r="Y155" i="1"/>
  <c r="AE156" i="1"/>
  <c r="Z160" i="1"/>
  <c r="AD21" i="1"/>
  <c r="AD27" i="1"/>
  <c r="AD36" i="1"/>
  <c r="AD73" i="1"/>
  <c r="H84" i="1"/>
  <c r="AD134" i="1"/>
  <c r="AD160" i="1"/>
  <c r="F10" i="1"/>
  <c r="AD20" i="1"/>
  <c r="Y25" i="1"/>
  <c r="AE26" i="1"/>
  <c r="Y31" i="1"/>
  <c r="AE48" i="1"/>
  <c r="F50" i="1"/>
  <c r="Y60" i="1"/>
  <c r="AD72" i="1"/>
  <c r="Z77" i="1"/>
  <c r="Z90" i="1"/>
  <c r="Y116" i="1"/>
  <c r="H129" i="1"/>
  <c r="Y130" i="1"/>
  <c r="N151" i="1"/>
  <c r="I15" i="1"/>
  <c r="AE60" i="1"/>
  <c r="AE62" i="1"/>
  <c r="Y74" i="1"/>
  <c r="AE100" i="1"/>
  <c r="Z103" i="1"/>
  <c r="L119" i="1"/>
  <c r="H138" i="1"/>
  <c r="AC161" i="1"/>
  <c r="Z17" i="1"/>
  <c r="I23" i="1"/>
  <c r="I25" i="1"/>
  <c r="I31" i="1"/>
  <c r="AE36" i="1"/>
  <c r="AB50" i="1"/>
  <c r="Y63" i="1"/>
  <c r="AD70" i="1"/>
  <c r="AD74" i="1"/>
  <c r="AD76" i="1"/>
  <c r="Y82" i="1"/>
  <c r="Z101" i="1"/>
  <c r="H107" i="1"/>
  <c r="N115" i="1"/>
  <c r="N116" i="1"/>
  <c r="Y117" i="1"/>
  <c r="Z133" i="1"/>
  <c r="X132" i="1"/>
  <c r="I137" i="1"/>
  <c r="H142" i="1"/>
  <c r="Z143" i="1"/>
  <c r="H149" i="1"/>
  <c r="I150" i="1"/>
  <c r="M152" i="1"/>
  <c r="N155" i="1"/>
  <c r="AE157" i="1"/>
  <c r="M162" i="1"/>
  <c r="Z7" i="1"/>
  <c r="AE8" i="1"/>
  <c r="I22" i="1"/>
  <c r="AE41" i="1"/>
  <c r="I103" i="1"/>
  <c r="I106" i="1"/>
  <c r="Z110" i="1"/>
  <c r="Z137" i="1"/>
  <c r="AE138" i="1"/>
  <c r="I158" i="1"/>
  <c r="I5" i="1"/>
  <c r="AD7" i="1"/>
  <c r="Z13" i="1"/>
  <c r="AB14" i="1"/>
  <c r="AB24" i="1"/>
  <c r="H36" i="1"/>
  <c r="Z45" i="1"/>
  <c r="Z55" i="1"/>
  <c r="Z60" i="1"/>
  <c r="Z62" i="1"/>
  <c r="G69" i="1"/>
  <c r="C21" i="2" s="1"/>
  <c r="AB75" i="1"/>
  <c r="I84" i="1"/>
  <c r="N103" i="1"/>
  <c r="H106" i="1"/>
  <c r="AD115" i="1"/>
  <c r="Z123" i="1"/>
  <c r="G147" i="1"/>
  <c r="C35" i="2" s="1"/>
  <c r="Z154" i="1"/>
  <c r="G50" i="1"/>
  <c r="C16" i="2" s="1"/>
  <c r="I121" i="1"/>
  <c r="Y122" i="1"/>
  <c r="Y145" i="1"/>
  <c r="Z149" i="1"/>
  <c r="AD150" i="1"/>
  <c r="AD22" i="1"/>
  <c r="Y27" i="1"/>
  <c r="Y29" i="1"/>
  <c r="AD43" i="1"/>
  <c r="AE46" i="1"/>
  <c r="Z49" i="1"/>
  <c r="AD55" i="1"/>
  <c r="I64" i="1"/>
  <c r="M84" i="1"/>
  <c r="AE6" i="1"/>
  <c r="I8" i="1"/>
  <c r="AC10" i="1"/>
  <c r="AE10" i="1" s="1"/>
  <c r="AE15" i="1"/>
  <c r="N20" i="1"/>
  <c r="AC19" i="1"/>
  <c r="M64" i="1"/>
  <c r="F69" i="1"/>
  <c r="Z96" i="1"/>
  <c r="AE99" i="1"/>
  <c r="I101" i="1"/>
  <c r="Z112" i="1"/>
  <c r="Y127" i="1"/>
  <c r="Z135" i="1"/>
  <c r="AE141" i="1"/>
  <c r="Z144" i="1"/>
  <c r="AD145" i="1"/>
  <c r="H160" i="1"/>
  <c r="I163" i="1"/>
  <c r="AD165" i="1"/>
  <c r="AB4" i="1"/>
  <c r="W19" i="1"/>
  <c r="AC50" i="1"/>
  <c r="I57" i="1"/>
  <c r="Z58" i="1"/>
  <c r="I63" i="1"/>
  <c r="AE71" i="1"/>
  <c r="AE77" i="1"/>
  <c r="I82" i="1"/>
  <c r="W98" i="1"/>
  <c r="X147" i="1"/>
  <c r="AD6" i="1"/>
  <c r="AD23" i="1"/>
  <c r="AB35" i="1"/>
  <c r="I53" i="1"/>
  <c r="H64" i="1"/>
  <c r="Z70" i="1"/>
  <c r="AD71" i="1"/>
  <c r="Z79" i="1"/>
  <c r="I83" i="1"/>
  <c r="Z87" i="1"/>
  <c r="AE88" i="1"/>
  <c r="AD91" i="1"/>
  <c r="AD95" i="1"/>
  <c r="AE96" i="1"/>
  <c r="H101" i="1"/>
  <c r="Y102" i="1"/>
  <c r="Y106" i="1"/>
  <c r="Z107" i="1"/>
  <c r="AE108" i="1"/>
  <c r="AE110" i="1"/>
  <c r="I116" i="1"/>
  <c r="I117" i="1"/>
  <c r="M128" i="1"/>
  <c r="Z130" i="1"/>
  <c r="AD131" i="1"/>
  <c r="Y142" i="1"/>
  <c r="Z145" i="1"/>
  <c r="W147" i="1"/>
  <c r="I154" i="1"/>
  <c r="AD158" i="1"/>
  <c r="Z159" i="1"/>
  <c r="Z16" i="1"/>
  <c r="AE17" i="1"/>
  <c r="Z20" i="1"/>
  <c r="AD38" i="1"/>
  <c r="AC39" i="1"/>
  <c r="AD49" i="1"/>
  <c r="I62" i="1"/>
  <c r="Y65" i="1"/>
  <c r="Z83" i="1"/>
  <c r="AE87" i="1"/>
  <c r="I91" i="1"/>
  <c r="I97" i="1"/>
  <c r="H111" i="1"/>
  <c r="Y118" i="1"/>
  <c r="AE135" i="1"/>
  <c r="AE140" i="1"/>
  <c r="Y148" i="1"/>
  <c r="Y149" i="1"/>
  <c r="G161" i="1"/>
  <c r="Z162" i="1"/>
  <c r="AE163" i="1"/>
  <c r="AE5" i="1"/>
  <c r="I7" i="1"/>
  <c r="AE9" i="1"/>
  <c r="AE13" i="1"/>
  <c r="X14" i="1"/>
  <c r="G19" i="1"/>
  <c r="C9" i="2" s="1"/>
  <c r="I26" i="1"/>
  <c r="Z27" i="1"/>
  <c r="I42" i="1"/>
  <c r="AE49" i="1"/>
  <c r="Z56" i="1"/>
  <c r="AE57" i="1"/>
  <c r="W61" i="1"/>
  <c r="Z63" i="1"/>
  <c r="Z64" i="1"/>
  <c r="Z65" i="1"/>
  <c r="Y77" i="1"/>
  <c r="AE79" i="1"/>
  <c r="Z85" i="1"/>
  <c r="M91" i="1"/>
  <c r="I96" i="1"/>
  <c r="Z100" i="1"/>
  <c r="AE102" i="1"/>
  <c r="AE106" i="1"/>
  <c r="I111" i="1"/>
  <c r="Z114" i="1"/>
  <c r="I126" i="1"/>
  <c r="AE129" i="1"/>
  <c r="N138" i="1"/>
  <c r="AD151" i="1"/>
  <c r="H159" i="1"/>
  <c r="Z8" i="1"/>
  <c r="AD8" i="1"/>
  <c r="I11" i="1"/>
  <c r="AC12" i="1"/>
  <c r="AE16" i="1"/>
  <c r="I18" i="1"/>
  <c r="AE30" i="1"/>
  <c r="AD46" i="1"/>
  <c r="AE47" i="1"/>
  <c r="AE52" i="1"/>
  <c r="Y59" i="1"/>
  <c r="AE63" i="1"/>
  <c r="AD65" i="1"/>
  <c r="M67" i="1"/>
  <c r="M66" i="1" s="1"/>
  <c r="Z73" i="1"/>
  <c r="Z84" i="1"/>
  <c r="Z97" i="1"/>
  <c r="I108" i="1"/>
  <c r="M111" i="1"/>
  <c r="I112" i="1"/>
  <c r="Z113" i="1"/>
  <c r="AE118" i="1"/>
  <c r="AE128" i="1"/>
  <c r="I131" i="1"/>
  <c r="W132" i="1"/>
  <c r="I136" i="1"/>
  <c r="N137" i="1"/>
  <c r="I144" i="1"/>
  <c r="I145" i="1"/>
  <c r="AD155" i="1"/>
  <c r="AD156" i="1"/>
  <c r="I159" i="1"/>
  <c r="N6" i="1"/>
  <c r="M36" i="1"/>
  <c r="AB44" i="1"/>
  <c r="AC61" i="1"/>
  <c r="AE114" i="1"/>
  <c r="AE116" i="1"/>
  <c r="C119" i="1"/>
  <c r="H131" i="1"/>
  <c r="M135" i="1"/>
  <c r="Y136" i="1"/>
  <c r="I140" i="1"/>
  <c r="M145" i="1"/>
  <c r="I151" i="1"/>
  <c r="I152" i="1"/>
  <c r="H163" i="1"/>
  <c r="Z11" i="1"/>
  <c r="I17" i="1"/>
  <c r="N22" i="1"/>
  <c r="N36" i="1"/>
  <c r="Z42" i="1"/>
  <c r="AE43" i="1"/>
  <c r="AD52" i="1"/>
  <c r="Z67" i="1"/>
  <c r="I70" i="1"/>
  <c r="H79" i="1"/>
  <c r="Y91" i="1"/>
  <c r="AD92" i="1"/>
  <c r="AD99" i="1"/>
  <c r="I105" i="1"/>
  <c r="Z111" i="1"/>
  <c r="H115" i="1"/>
  <c r="AD126" i="1"/>
  <c r="Y131" i="1"/>
  <c r="Y135" i="1"/>
  <c r="AD138" i="1"/>
  <c r="N145" i="1"/>
  <c r="Y158" i="1"/>
  <c r="W4" i="1"/>
  <c r="Z6" i="1"/>
  <c r="AE7" i="1"/>
  <c r="AD18" i="1"/>
  <c r="I20" i="1"/>
  <c r="N21" i="1"/>
  <c r="Z23" i="1"/>
  <c r="Z25" i="1"/>
  <c r="Y32" i="1"/>
  <c r="AD33" i="1"/>
  <c r="AD42" i="1"/>
  <c r="AD51" i="1"/>
  <c r="AD62" i="1"/>
  <c r="F66" i="1"/>
  <c r="AB89" i="1"/>
  <c r="H118" i="1"/>
  <c r="Y123" i="1"/>
  <c r="I141" i="1"/>
  <c r="AD11" i="1"/>
  <c r="AD10" i="1" s="1"/>
  <c r="AD5" i="1"/>
  <c r="N17" i="1"/>
  <c r="AB19" i="1"/>
  <c r="AE25" i="1"/>
  <c r="I30" i="1"/>
  <c r="AE33" i="1"/>
  <c r="H40" i="1"/>
  <c r="I40" i="1"/>
  <c r="Y100" i="1"/>
  <c r="AD106" i="1"/>
  <c r="Z117" i="1"/>
  <c r="AC4" i="1"/>
  <c r="H13" i="1"/>
  <c r="H12" i="1" s="1"/>
  <c r="F12" i="1"/>
  <c r="M5" i="1"/>
  <c r="Z15" i="1"/>
  <c r="Y16" i="1"/>
  <c r="Y17" i="1"/>
  <c r="Z18" i="1"/>
  <c r="AE20" i="1"/>
  <c r="AD25" i="1"/>
  <c r="F28" i="1"/>
  <c r="AE56" i="1"/>
  <c r="AC54" i="1"/>
  <c r="W66" i="1"/>
  <c r="Z66" i="1" s="1"/>
  <c r="Y67" i="1"/>
  <c r="Y66" i="1" s="1"/>
  <c r="N90" i="1"/>
  <c r="M90" i="1"/>
  <c r="G98" i="1"/>
  <c r="C26" i="2" s="1"/>
  <c r="H112" i="1"/>
  <c r="N112" i="1"/>
  <c r="M112" i="1"/>
  <c r="F39" i="1"/>
  <c r="M40" i="1"/>
  <c r="AE21" i="1"/>
  <c r="I29" i="1"/>
  <c r="G28" i="1"/>
  <c r="C11" i="2" s="1"/>
  <c r="AE32" i="1"/>
  <c r="AD32" i="1"/>
  <c r="L34" i="1"/>
  <c r="M47" i="1"/>
  <c r="N47" i="1"/>
  <c r="N134" i="1"/>
  <c r="M134" i="1"/>
  <c r="H134" i="1"/>
  <c r="H164" i="1"/>
  <c r="N164" i="1"/>
  <c r="M164" i="1"/>
  <c r="X75" i="1"/>
  <c r="C3" i="1"/>
  <c r="N5" i="1"/>
  <c r="G4" i="1"/>
  <c r="C5" i="2" s="1"/>
  <c r="I9" i="1"/>
  <c r="Y11" i="1"/>
  <c r="Y10" i="1" s="1"/>
  <c r="AD17" i="1"/>
  <c r="N33" i="1"/>
  <c r="M33" i="1"/>
  <c r="H33" i="1"/>
  <c r="AD41" i="1"/>
  <c r="AE42" i="1"/>
  <c r="H87" i="1"/>
  <c r="N87" i="1"/>
  <c r="M87" i="1"/>
  <c r="Y110" i="1"/>
  <c r="H133" i="1"/>
  <c r="I134" i="1"/>
  <c r="N150" i="1"/>
  <c r="M150" i="1"/>
  <c r="H150" i="1"/>
  <c r="AE31" i="1"/>
  <c r="AD31" i="1"/>
  <c r="AB39" i="1"/>
  <c r="AD40" i="1"/>
  <c r="M45" i="1"/>
  <c r="N45" i="1"/>
  <c r="Y125" i="1"/>
  <c r="Z125" i="1"/>
  <c r="L3" i="1"/>
  <c r="Z5" i="1"/>
  <c r="Y6" i="1"/>
  <c r="Y7" i="1"/>
  <c r="Y8" i="1"/>
  <c r="Z9" i="1"/>
  <c r="H15" i="1"/>
  <c r="M15" i="1"/>
  <c r="I16" i="1"/>
  <c r="M16" i="1"/>
  <c r="AD16" i="1"/>
  <c r="Y23" i="1"/>
  <c r="AE37" i="1"/>
  <c r="AC35" i="1"/>
  <c r="AD37" i="1"/>
  <c r="AD58" i="1"/>
  <c r="AE58" i="1"/>
  <c r="I76" i="1"/>
  <c r="G75" i="1"/>
  <c r="C22" i="2" s="1"/>
  <c r="AD88" i="1"/>
  <c r="H102" i="1"/>
  <c r="I102" i="1"/>
  <c r="AD108" i="1"/>
  <c r="AD136" i="1"/>
  <c r="N154" i="1"/>
  <c r="M154" i="1"/>
  <c r="H154" i="1"/>
  <c r="Z158" i="1"/>
  <c r="AD9" i="1"/>
  <c r="AB12" i="1"/>
  <c r="Y21" i="1"/>
  <c r="Y22" i="1"/>
  <c r="AE29" i="1"/>
  <c r="AD29" i="1"/>
  <c r="Z33" i="1"/>
  <c r="Y33" i="1"/>
  <c r="N38" i="1"/>
  <c r="M38" i="1"/>
  <c r="AD57" i="1"/>
  <c r="Y83" i="1"/>
  <c r="AC89" i="1"/>
  <c r="AE90" i="1"/>
  <c r="AB54" i="1"/>
  <c r="AE59" i="1"/>
  <c r="AD64" i="1"/>
  <c r="Y70" i="1"/>
  <c r="Y71" i="1"/>
  <c r="Y72" i="1"/>
  <c r="Z74" i="1"/>
  <c r="Y78" i="1"/>
  <c r="M79" i="1"/>
  <c r="G81" i="1"/>
  <c r="C24" i="2" s="1"/>
  <c r="M86" i="1"/>
  <c r="AE86" i="1"/>
  <c r="AE91" i="1"/>
  <c r="AE92" i="1"/>
  <c r="AE93" i="1"/>
  <c r="AE94" i="1"/>
  <c r="M105" i="1"/>
  <c r="AD113" i="1"/>
  <c r="Y115" i="1"/>
  <c r="N121" i="1"/>
  <c r="M122" i="1"/>
  <c r="AE126" i="1"/>
  <c r="Z131" i="1"/>
  <c r="I135" i="1"/>
  <c r="Y137" i="1"/>
  <c r="M138" i="1"/>
  <c r="H141" i="1"/>
  <c r="I149" i="1"/>
  <c r="X153" i="1"/>
  <c r="H158" i="1"/>
  <c r="AD159" i="1"/>
  <c r="Y160" i="1"/>
  <c r="AB161" i="1"/>
  <c r="Y162" i="1"/>
  <c r="M163" i="1"/>
  <c r="Z26" i="1"/>
  <c r="N46" i="1"/>
  <c r="Z51" i="1"/>
  <c r="Z52" i="1"/>
  <c r="Z53" i="1"/>
  <c r="AD56" i="1"/>
  <c r="AD59" i="1"/>
  <c r="Y62" i="1"/>
  <c r="AE73" i="1"/>
  <c r="AE74" i="1"/>
  <c r="M76" i="1"/>
  <c r="I77" i="1"/>
  <c r="F81" i="1"/>
  <c r="N86" i="1"/>
  <c r="I87" i="1"/>
  <c r="I90" i="1"/>
  <c r="AD90" i="1"/>
  <c r="I95" i="1"/>
  <c r="H97" i="1"/>
  <c r="AE103" i="1"/>
  <c r="W104" i="1"/>
  <c r="AD112" i="1"/>
  <c r="F120" i="1"/>
  <c r="Z121" i="1"/>
  <c r="Z122" i="1"/>
  <c r="Y128" i="1"/>
  <c r="Z134" i="1"/>
  <c r="H136" i="1"/>
  <c r="Z148" i="1"/>
  <c r="N149" i="1"/>
  <c r="Z156" i="1"/>
  <c r="Z157" i="1"/>
  <c r="H162" i="1"/>
  <c r="N163" i="1"/>
  <c r="I164" i="1"/>
  <c r="Z29" i="1"/>
  <c r="Z30" i="1"/>
  <c r="C34" i="1"/>
  <c r="G35" i="1"/>
  <c r="C13" i="2" s="1"/>
  <c r="I55" i="1"/>
  <c r="AC69" i="1"/>
  <c r="AC75" i="1"/>
  <c r="AE82" i="1"/>
  <c r="M102" i="1"/>
  <c r="M106" i="1"/>
  <c r="AE112" i="1"/>
  <c r="I115" i="1"/>
  <c r="M131" i="1"/>
  <c r="Z138" i="1"/>
  <c r="AE143" i="1"/>
  <c r="Z151" i="1"/>
  <c r="AE154" i="1"/>
  <c r="Z155" i="1"/>
  <c r="I13" i="1"/>
  <c r="AE27" i="1"/>
  <c r="AB28" i="1"/>
  <c r="I36" i="1"/>
  <c r="AD53" i="1"/>
  <c r="N55" i="1"/>
  <c r="F54" i="1"/>
  <c r="I60" i="1"/>
  <c r="H65" i="1"/>
  <c r="AB69" i="1"/>
  <c r="AE72" i="1"/>
  <c r="I74" i="1"/>
  <c r="H78" i="1"/>
  <c r="AE78" i="1"/>
  <c r="H82" i="1"/>
  <c r="H85" i="1"/>
  <c r="Z86" i="1"/>
  <c r="C80" i="1"/>
  <c r="Z94" i="1"/>
  <c r="Z95" i="1"/>
  <c r="Y101" i="1"/>
  <c r="Y105" i="1"/>
  <c r="AB109" i="1"/>
  <c r="H114" i="1"/>
  <c r="X120" i="1"/>
  <c r="Z126" i="1"/>
  <c r="Z127" i="1"/>
  <c r="AD128" i="1"/>
  <c r="M136" i="1"/>
  <c r="AE137" i="1"/>
  <c r="N139" i="1"/>
  <c r="AE142" i="1"/>
  <c r="H151" i="1"/>
  <c r="Z152" i="1"/>
  <c r="H155" i="1"/>
  <c r="AE162" i="1"/>
  <c r="Z163" i="1"/>
  <c r="M160" i="1"/>
  <c r="Y164" i="1"/>
  <c r="I21" i="1"/>
  <c r="AC24" i="1"/>
  <c r="I27" i="1"/>
  <c r="H37" i="1"/>
  <c r="AC44" i="1"/>
  <c r="Z47" i="1"/>
  <c r="Z48" i="1"/>
  <c r="AE51" i="1"/>
  <c r="Y57" i="1"/>
  <c r="Z59" i="1"/>
  <c r="Y64" i="1"/>
  <c r="M65" i="1"/>
  <c r="H67" i="1"/>
  <c r="H66" i="1" s="1"/>
  <c r="M78" i="1"/>
  <c r="H83" i="1"/>
  <c r="Y84" i="1"/>
  <c r="M85" i="1"/>
  <c r="H91" i="1"/>
  <c r="Y97" i="1"/>
  <c r="I100" i="1"/>
  <c r="AD100" i="1"/>
  <c r="Y103" i="1"/>
  <c r="G104" i="1"/>
  <c r="C27" i="2" s="1"/>
  <c r="N107" i="1"/>
  <c r="W109" i="1"/>
  <c r="I123" i="1"/>
  <c r="AD125" i="1"/>
  <c r="M137" i="1"/>
  <c r="I143" i="1"/>
  <c r="I148" i="1"/>
  <c r="Y159" i="1"/>
  <c r="Y43" i="1"/>
  <c r="AD48" i="1"/>
  <c r="I67" i="1"/>
  <c r="AD77" i="1"/>
  <c r="I79" i="1"/>
  <c r="I86" i="1"/>
  <c r="AE95" i="1"/>
  <c r="H100" i="1"/>
  <c r="Z106" i="1"/>
  <c r="Y107" i="1"/>
  <c r="H122" i="1"/>
  <c r="H135" i="1"/>
  <c r="Z136" i="1"/>
  <c r="I138" i="1"/>
  <c r="Z140" i="1"/>
  <c r="AD149" i="1"/>
  <c r="Y150" i="1"/>
  <c r="Y154" i="1"/>
  <c r="N160" i="1"/>
  <c r="M20" i="1"/>
  <c r="AC14" i="1"/>
  <c r="AD15" i="1"/>
  <c r="F19" i="1"/>
  <c r="G24" i="1"/>
  <c r="C10" i="2" s="1"/>
  <c r="W24" i="1"/>
  <c r="Y26" i="1"/>
  <c r="H27" i="1"/>
  <c r="X28" i="1"/>
  <c r="Z32" i="1"/>
  <c r="Y36" i="1"/>
  <c r="W35" i="1"/>
  <c r="Z38" i="1"/>
  <c r="X35" i="1"/>
  <c r="Z41" i="1"/>
  <c r="X39" i="1"/>
  <c r="Y42" i="1"/>
  <c r="F44" i="1"/>
  <c r="Y58" i="1"/>
  <c r="H63" i="1"/>
  <c r="I72" i="1"/>
  <c r="Z88" i="1"/>
  <c r="X81" i="1"/>
  <c r="Y9" i="1"/>
  <c r="F4" i="1"/>
  <c r="B5" i="2" s="1"/>
  <c r="X10" i="1"/>
  <c r="Z10" i="1" s="1"/>
  <c r="X24" i="1"/>
  <c r="N49" i="1"/>
  <c r="M49" i="1"/>
  <c r="H49" i="1"/>
  <c r="M51" i="1"/>
  <c r="H7" i="1"/>
  <c r="H8" i="1"/>
  <c r="F14" i="1"/>
  <c r="H18" i="1"/>
  <c r="X19" i="1"/>
  <c r="H23" i="1"/>
  <c r="H25" i="1"/>
  <c r="M27" i="1"/>
  <c r="I32" i="1"/>
  <c r="N37" i="1"/>
  <c r="I38" i="1"/>
  <c r="H38" i="1"/>
  <c r="AE40" i="1"/>
  <c r="Z43" i="1"/>
  <c r="AD45" i="1"/>
  <c r="I49" i="1"/>
  <c r="N52" i="1"/>
  <c r="M52" i="1"/>
  <c r="H52" i="1"/>
  <c r="M55" i="1"/>
  <c r="AB61" i="1"/>
  <c r="W69" i="1"/>
  <c r="Z71" i="1"/>
  <c r="Z72" i="1"/>
  <c r="X69" i="1"/>
  <c r="Y73" i="1"/>
  <c r="W75" i="1"/>
  <c r="Y76" i="1"/>
  <c r="Z99" i="1"/>
  <c r="X98" i="1"/>
  <c r="Y99" i="1"/>
  <c r="W28" i="1"/>
  <c r="H26" i="1"/>
  <c r="X4" i="1"/>
  <c r="M9" i="1"/>
  <c r="Y13" i="1"/>
  <c r="Y12" i="1" s="1"/>
  <c r="G14" i="1"/>
  <c r="C8" i="2" s="1"/>
  <c r="W14" i="1"/>
  <c r="H17" i="1"/>
  <c r="H20" i="1"/>
  <c r="Y20" i="1"/>
  <c r="H21" i="1"/>
  <c r="H22" i="1"/>
  <c r="M26" i="1"/>
  <c r="M30" i="1"/>
  <c r="AD30" i="1"/>
  <c r="Z31" i="1"/>
  <c r="H32" i="1"/>
  <c r="M41" i="1"/>
  <c r="I41" i="1"/>
  <c r="H41" i="1"/>
  <c r="AE45" i="1"/>
  <c r="Y47" i="1"/>
  <c r="W44" i="1"/>
  <c r="Y49" i="1"/>
  <c r="I52" i="1"/>
  <c r="N53" i="1"/>
  <c r="M53" i="1"/>
  <c r="H53" i="1"/>
  <c r="AE65" i="1"/>
  <c r="Z76" i="1"/>
  <c r="H9" i="1"/>
  <c r="H29" i="1"/>
  <c r="H30" i="1"/>
  <c r="H11" i="1"/>
  <c r="H10" i="1" s="1"/>
  <c r="Y5" i="1"/>
  <c r="H6" i="1"/>
  <c r="X12" i="1"/>
  <c r="Z12" i="1" s="1"/>
  <c r="H5" i="1"/>
  <c r="I6" i="1"/>
  <c r="M7" i="1"/>
  <c r="M8" i="1"/>
  <c r="Y15" i="1"/>
  <c r="H16" i="1"/>
  <c r="M18" i="1"/>
  <c r="M23" i="1"/>
  <c r="AD26" i="1"/>
  <c r="AC28" i="1"/>
  <c r="M32" i="1"/>
  <c r="Z37" i="1"/>
  <c r="Y37" i="1"/>
  <c r="Y48" i="1"/>
  <c r="Y51" i="1"/>
  <c r="W50" i="1"/>
  <c r="X61" i="1"/>
  <c r="Y141" i="1"/>
  <c r="F24" i="1"/>
  <c r="M48" i="1"/>
  <c r="I48" i="1"/>
  <c r="H48" i="1"/>
  <c r="AE84" i="1"/>
  <c r="AC81" i="1"/>
  <c r="N29" i="1"/>
  <c r="M31" i="1"/>
  <c r="H31" i="1"/>
  <c r="Z40" i="1"/>
  <c r="Y40" i="1"/>
  <c r="W39" i="1"/>
  <c r="M42" i="1"/>
  <c r="H42" i="1"/>
  <c r="Y53" i="1"/>
  <c r="N57" i="1"/>
  <c r="M57" i="1"/>
  <c r="H57" i="1"/>
  <c r="N59" i="1"/>
  <c r="M59" i="1"/>
  <c r="H59" i="1"/>
  <c r="F61" i="1"/>
  <c r="N62" i="1"/>
  <c r="H62" i="1"/>
  <c r="N70" i="1"/>
  <c r="H70" i="1"/>
  <c r="M92" i="1"/>
  <c r="I92" i="1"/>
  <c r="H92" i="1"/>
  <c r="N92" i="1"/>
  <c r="F89" i="1"/>
  <c r="N93" i="1"/>
  <c r="M93" i="1"/>
  <c r="H93" i="1"/>
  <c r="Y30" i="1"/>
  <c r="N43" i="1"/>
  <c r="M43" i="1"/>
  <c r="H43" i="1"/>
  <c r="N58" i="1"/>
  <c r="M58" i="1"/>
  <c r="H58" i="1"/>
  <c r="I59" i="1"/>
  <c r="G54" i="1"/>
  <c r="C17" i="2" s="1"/>
  <c r="AD67" i="1"/>
  <c r="AD66" i="1" s="1"/>
  <c r="AB66" i="1"/>
  <c r="N71" i="1"/>
  <c r="M71" i="1"/>
  <c r="H71" i="1"/>
  <c r="N73" i="1"/>
  <c r="M73" i="1"/>
  <c r="H73" i="1"/>
  <c r="I33" i="1"/>
  <c r="F35" i="1"/>
  <c r="I37" i="1"/>
  <c r="Y38" i="1"/>
  <c r="Y41" i="1"/>
  <c r="I43" i="1"/>
  <c r="Y56" i="1"/>
  <c r="W54" i="1"/>
  <c r="I58" i="1"/>
  <c r="H60" i="1"/>
  <c r="G61" i="1"/>
  <c r="C18" i="2" s="1"/>
  <c r="AE67" i="1"/>
  <c r="I71" i="1"/>
  <c r="N72" i="1"/>
  <c r="M72" i="1"/>
  <c r="H72" i="1"/>
  <c r="I73" i="1"/>
  <c r="H74" i="1"/>
  <c r="M77" i="1"/>
  <c r="F75" i="1"/>
  <c r="N77" i="1"/>
  <c r="H77" i="1"/>
  <c r="I93" i="1"/>
  <c r="N94" i="1"/>
  <c r="M94" i="1"/>
  <c r="H94" i="1"/>
  <c r="X104" i="1"/>
  <c r="Z108" i="1"/>
  <c r="Y108" i="1"/>
  <c r="H113" i="1"/>
  <c r="N113" i="1"/>
  <c r="M113" i="1"/>
  <c r="I113" i="1"/>
  <c r="Z141" i="1"/>
  <c r="Z142" i="1"/>
  <c r="AE152" i="1"/>
  <c r="AD152" i="1"/>
  <c r="AD79" i="1"/>
  <c r="Y92" i="1"/>
  <c r="W89" i="1"/>
  <c r="I94" i="1"/>
  <c r="N95" i="1"/>
  <c r="M95" i="1"/>
  <c r="H95" i="1"/>
  <c r="AD102" i="1"/>
  <c r="Z116" i="1"/>
  <c r="N123" i="1"/>
  <c r="M123" i="1"/>
  <c r="H123" i="1"/>
  <c r="G124" i="1"/>
  <c r="C31" i="2" s="1"/>
  <c r="I130" i="1"/>
  <c r="AD137" i="1"/>
  <c r="G44" i="1"/>
  <c r="C15" i="2" s="1"/>
  <c r="X50" i="1"/>
  <c r="X54" i="1"/>
  <c r="M60" i="1"/>
  <c r="M63" i="1"/>
  <c r="AC66" i="1"/>
  <c r="M74" i="1"/>
  <c r="AE83" i="1"/>
  <c r="AD83" i="1"/>
  <c r="AB81" i="1"/>
  <c r="Z92" i="1"/>
  <c r="X89" i="1"/>
  <c r="Z89" i="1" s="1"/>
  <c r="AC98" i="1"/>
  <c r="N110" i="1"/>
  <c r="H110" i="1"/>
  <c r="M127" i="1"/>
  <c r="H127" i="1"/>
  <c r="N127" i="1"/>
  <c r="I127" i="1"/>
  <c r="G39" i="1"/>
  <c r="C14" i="2" s="1"/>
  <c r="X44" i="1"/>
  <c r="H51" i="1"/>
  <c r="H55" i="1"/>
  <c r="Y55" i="1"/>
  <c r="H56" i="1"/>
  <c r="AD60" i="1"/>
  <c r="AD63" i="1"/>
  <c r="AE64" i="1"/>
  <c r="AD85" i="1"/>
  <c r="Z93" i="1"/>
  <c r="Y94" i="1"/>
  <c r="H96" i="1"/>
  <c r="AB104" i="1"/>
  <c r="I110" i="1"/>
  <c r="G109" i="1"/>
  <c r="C28" i="2" s="1"/>
  <c r="AD111" i="1"/>
  <c r="Y113" i="1"/>
  <c r="AD135" i="1"/>
  <c r="H45" i="1"/>
  <c r="Y45" i="1"/>
  <c r="H46" i="1"/>
  <c r="Y46" i="1"/>
  <c r="H47" i="1"/>
  <c r="I51" i="1"/>
  <c r="I56" i="1"/>
  <c r="L80" i="1"/>
  <c r="M88" i="1"/>
  <c r="I88" i="1"/>
  <c r="H88" i="1"/>
  <c r="N88" i="1"/>
  <c r="N99" i="1"/>
  <c r="H99" i="1"/>
  <c r="F98" i="1"/>
  <c r="AC109" i="1"/>
  <c r="G120" i="1"/>
  <c r="C30" i="2" s="1"/>
  <c r="Z129" i="1"/>
  <c r="Y129" i="1"/>
  <c r="X161" i="1"/>
  <c r="Z165" i="1"/>
  <c r="I45" i="1"/>
  <c r="I46" i="1"/>
  <c r="I47" i="1"/>
  <c r="H76" i="1"/>
  <c r="AD78" i="1"/>
  <c r="Y95" i="1"/>
  <c r="I99" i="1"/>
  <c r="AE101" i="1"/>
  <c r="AB98" i="1"/>
  <c r="AD101" i="1"/>
  <c r="AD103" i="1"/>
  <c r="AE105" i="1"/>
  <c r="AC104" i="1"/>
  <c r="M108" i="1"/>
  <c r="F104" i="1"/>
  <c r="H108" i="1"/>
  <c r="N108" i="1"/>
  <c r="X109" i="1"/>
  <c r="Y121" i="1"/>
  <c r="W120" i="1"/>
  <c r="Z128" i="1"/>
  <c r="X124" i="1"/>
  <c r="G132" i="1"/>
  <c r="C32" i="2" s="1"/>
  <c r="I133" i="1"/>
  <c r="H143" i="1"/>
  <c r="AD84" i="1"/>
  <c r="W81" i="1"/>
  <c r="Y87" i="1"/>
  <c r="Y88" i="1"/>
  <c r="F109" i="1"/>
  <c r="AD114" i="1"/>
  <c r="M117" i="1"/>
  <c r="N117" i="1"/>
  <c r="H117" i="1"/>
  <c r="AD118" i="1"/>
  <c r="H125" i="1"/>
  <c r="F124" i="1"/>
  <c r="N125" i="1"/>
  <c r="I125" i="1"/>
  <c r="AD127" i="1"/>
  <c r="AB124" i="1"/>
  <c r="AE127" i="1"/>
  <c r="Z78" i="1"/>
  <c r="M103" i="1"/>
  <c r="H105" i="1"/>
  <c r="Z105" i="1"/>
  <c r="AE107" i="1"/>
  <c r="I114" i="1"/>
  <c r="Y114" i="1"/>
  <c r="I122" i="1"/>
  <c r="AE122" i="1"/>
  <c r="AD122" i="1"/>
  <c r="I129" i="1"/>
  <c r="N130" i="1"/>
  <c r="M130" i="1"/>
  <c r="AE130" i="1"/>
  <c r="AD130" i="1"/>
  <c r="F132" i="1"/>
  <c r="N133" i="1"/>
  <c r="AE133" i="1"/>
  <c r="AD133" i="1"/>
  <c r="AB132" i="1"/>
  <c r="AD140" i="1"/>
  <c r="I142" i="1"/>
  <c r="N143" i="1"/>
  <c r="M143" i="1"/>
  <c r="AE145" i="1"/>
  <c r="AE149" i="1"/>
  <c r="AC147" i="1"/>
  <c r="AE151" i="1"/>
  <c r="AD154" i="1"/>
  <c r="Y157" i="1"/>
  <c r="W161" i="1"/>
  <c r="Y165" i="1"/>
  <c r="N79" i="1"/>
  <c r="M83" i="1"/>
  <c r="G89" i="1"/>
  <c r="C25" i="2" s="1"/>
  <c r="M97" i="1"/>
  <c r="M101" i="1"/>
  <c r="Y112" i="1"/>
  <c r="M118" i="1"/>
  <c r="Y126" i="1"/>
  <c r="N144" i="1"/>
  <c r="M144" i="1"/>
  <c r="AE144" i="1"/>
  <c r="AD144" i="1"/>
  <c r="F147" i="1"/>
  <c r="B35" i="2" s="1"/>
  <c r="N148" i="1"/>
  <c r="AE148" i="1"/>
  <c r="AD148" i="1"/>
  <c r="AB147" i="1"/>
  <c r="AE150" i="1"/>
  <c r="AB153" i="1"/>
  <c r="M96" i="1"/>
  <c r="M100" i="1"/>
  <c r="AD121" i="1"/>
  <c r="AB120" i="1"/>
  <c r="AE123" i="1"/>
  <c r="AD123" i="1"/>
  <c r="AC153" i="1"/>
  <c r="N156" i="1"/>
  <c r="M156" i="1"/>
  <c r="I156" i="1"/>
  <c r="H156" i="1"/>
  <c r="F153" i="1"/>
  <c r="N157" i="1"/>
  <c r="M157" i="1"/>
  <c r="H157" i="1"/>
  <c r="N82" i="1"/>
  <c r="AD82" i="1"/>
  <c r="H90" i="1"/>
  <c r="Y90" i="1"/>
  <c r="AD96" i="1"/>
  <c r="AD97" i="1"/>
  <c r="AD110" i="1"/>
  <c r="Z115" i="1"/>
  <c r="H116" i="1"/>
  <c r="AD117" i="1"/>
  <c r="H121" i="1"/>
  <c r="AC120" i="1"/>
  <c r="W124" i="1"/>
  <c r="I128" i="1"/>
  <c r="AE131" i="1"/>
  <c r="AE134" i="1"/>
  <c r="AC132" i="1"/>
  <c r="AE136" i="1"/>
  <c r="N141" i="1"/>
  <c r="H144" i="1"/>
  <c r="H148" i="1"/>
  <c r="G153" i="1"/>
  <c r="C36" i="2" s="1"/>
  <c r="I157" i="1"/>
  <c r="Y79" i="1"/>
  <c r="AE121" i="1"/>
  <c r="M126" i="1"/>
  <c r="H126" i="1"/>
  <c r="H128" i="1"/>
  <c r="Y156" i="1"/>
  <c r="N165" i="1"/>
  <c r="I165" i="1"/>
  <c r="H165" i="1"/>
  <c r="N129" i="1"/>
  <c r="M129" i="1"/>
  <c r="N142" i="1"/>
  <c r="M142" i="1"/>
  <c r="AD162" i="1"/>
  <c r="F161" i="1"/>
  <c r="M158" i="1"/>
  <c r="AD129" i="1"/>
  <c r="Y138" i="1"/>
  <c r="Y151" i="1"/>
  <c r="H152" i="1"/>
  <c r="Y152" i="1"/>
  <c r="W153" i="1"/>
  <c r="AC124" i="1"/>
  <c r="C4" i="2" l="1"/>
  <c r="E5" i="2"/>
  <c r="C29" i="2"/>
  <c r="N14" i="1"/>
  <c r="B8" i="2"/>
  <c r="D8" i="2" s="1"/>
  <c r="N44" i="1"/>
  <c r="B15" i="2"/>
  <c r="D15" i="2" s="1"/>
  <c r="N104" i="1"/>
  <c r="B27" i="2"/>
  <c r="D27" i="2" s="1"/>
  <c r="N132" i="1"/>
  <c r="B32" i="2"/>
  <c r="D32" i="2" s="1"/>
  <c r="D35" i="2"/>
  <c r="N75" i="1"/>
  <c r="B22" i="2"/>
  <c r="N89" i="1"/>
  <c r="B25" i="2"/>
  <c r="D25" i="2" s="1"/>
  <c r="N24" i="1"/>
  <c r="B10" i="2"/>
  <c r="D10" i="2" s="1"/>
  <c r="D5" i="2"/>
  <c r="I66" i="1"/>
  <c r="B19" i="2"/>
  <c r="N98" i="1"/>
  <c r="B26" i="2"/>
  <c r="D26" i="2" s="1"/>
  <c r="C12" i="2"/>
  <c r="N120" i="1"/>
  <c r="B30" i="2"/>
  <c r="C23" i="2"/>
  <c r="N39" i="1"/>
  <c r="B14" i="2"/>
  <c r="D14" i="2" s="1"/>
  <c r="N35" i="1"/>
  <c r="B13" i="2"/>
  <c r="N61" i="1"/>
  <c r="B18" i="2"/>
  <c r="D18" i="2" s="1"/>
  <c r="N54" i="1"/>
  <c r="B17" i="2"/>
  <c r="D17" i="2" s="1"/>
  <c r="N81" i="1"/>
  <c r="B24" i="2"/>
  <c r="E24" i="2" s="1"/>
  <c r="N10" i="1"/>
  <c r="B6" i="2"/>
  <c r="C20" i="2"/>
  <c r="N153" i="1"/>
  <c r="B36" i="2"/>
  <c r="D36" i="2" s="1"/>
  <c r="N124" i="1"/>
  <c r="B31" i="2"/>
  <c r="D31" i="2" s="1"/>
  <c r="N109" i="1"/>
  <c r="B28" i="2"/>
  <c r="D28" i="2" s="1"/>
  <c r="N19" i="1"/>
  <c r="B9" i="2"/>
  <c r="D9" i="2" s="1"/>
  <c r="N28" i="1"/>
  <c r="B11" i="2"/>
  <c r="D11" i="2" s="1"/>
  <c r="N12" i="1"/>
  <c r="B7" i="2"/>
  <c r="N69" i="1"/>
  <c r="B21" i="2"/>
  <c r="E35" i="2"/>
  <c r="C34" i="2"/>
  <c r="N50" i="1"/>
  <c r="B16" i="2"/>
  <c r="D16" i="2" s="1"/>
  <c r="Z139" i="1"/>
  <c r="I161" i="1"/>
  <c r="AD24" i="1"/>
  <c r="AE75" i="1"/>
  <c r="Y139" i="1"/>
  <c r="Z61" i="1"/>
  <c r="W146" i="1"/>
  <c r="AB146" i="1"/>
  <c r="AC146" i="1"/>
  <c r="G146" i="1"/>
  <c r="X146" i="1"/>
  <c r="AD139" i="1"/>
  <c r="H139" i="1"/>
  <c r="K139" i="1"/>
  <c r="F146" i="1"/>
  <c r="N146" i="1" s="1"/>
  <c r="I69" i="1"/>
  <c r="AE14" i="1"/>
  <c r="AD161" i="1"/>
  <c r="AE61" i="1"/>
  <c r="AE50" i="1"/>
  <c r="AB68" i="1"/>
  <c r="Z132" i="1"/>
  <c r="AD19" i="1"/>
  <c r="Y104" i="1"/>
  <c r="AE161" i="1"/>
  <c r="G68" i="1"/>
  <c r="AE44" i="1"/>
  <c r="I44" i="1"/>
  <c r="I50" i="1"/>
  <c r="I54" i="1"/>
  <c r="I89" i="1"/>
  <c r="I139" i="1"/>
  <c r="AE89" i="1"/>
  <c r="Y24" i="1"/>
  <c r="AE12" i="1"/>
  <c r="AE39" i="1"/>
  <c r="AD104" i="1"/>
  <c r="AD4" i="1"/>
  <c r="AE66" i="1"/>
  <c r="H104" i="1"/>
  <c r="X119" i="1"/>
  <c r="Y14" i="1"/>
  <c r="AE24" i="1"/>
  <c r="Z120" i="1"/>
  <c r="AB34" i="1"/>
  <c r="Z75" i="1"/>
  <c r="H35" i="1"/>
  <c r="I10" i="1"/>
  <c r="AD69" i="1"/>
  <c r="Y132" i="1"/>
  <c r="Y69" i="1"/>
  <c r="N66" i="1"/>
  <c r="AD35" i="1"/>
  <c r="AE35" i="1"/>
  <c r="Z109" i="1"/>
  <c r="Y28" i="1"/>
  <c r="Z153" i="1"/>
  <c r="H153" i="1"/>
  <c r="L166" i="1"/>
  <c r="I81" i="1"/>
  <c r="AE4" i="1"/>
  <c r="Y147" i="1"/>
  <c r="AE132" i="1"/>
  <c r="Y124" i="1"/>
  <c r="AD50" i="1"/>
  <c r="AE19" i="1"/>
  <c r="Y161" i="1"/>
  <c r="Z98" i="1"/>
  <c r="H28" i="1"/>
  <c r="AD75" i="1"/>
  <c r="Z19" i="1"/>
  <c r="G3" i="1"/>
  <c r="Y120" i="1"/>
  <c r="AE109" i="1"/>
  <c r="M35" i="1"/>
  <c r="Z147" i="1"/>
  <c r="Y153" i="1"/>
  <c r="AE153" i="1"/>
  <c r="Y109" i="1"/>
  <c r="Z44" i="1"/>
  <c r="Z104" i="1"/>
  <c r="M75" i="1"/>
  <c r="K66" i="1"/>
  <c r="AB3" i="1"/>
  <c r="AC68" i="1"/>
  <c r="AE68" i="1" s="1"/>
  <c r="AD39" i="1"/>
  <c r="I75" i="1"/>
  <c r="H132" i="1"/>
  <c r="H81" i="1"/>
  <c r="AD61" i="1"/>
  <c r="Y98" i="1"/>
  <c r="I4" i="1"/>
  <c r="H61" i="1"/>
  <c r="I61" i="1"/>
  <c r="AD132" i="1"/>
  <c r="Z54" i="1"/>
  <c r="F34" i="1"/>
  <c r="N34" i="1" s="1"/>
  <c r="I14" i="1"/>
  <c r="AC34" i="1"/>
  <c r="M39" i="1"/>
  <c r="AD98" i="1"/>
  <c r="Y44" i="1"/>
  <c r="AD54" i="1"/>
  <c r="Y19" i="1"/>
  <c r="I24" i="1"/>
  <c r="I19" i="1"/>
  <c r="K35" i="1"/>
  <c r="K12" i="1"/>
  <c r="M13" i="1"/>
  <c r="M12" i="1" s="1"/>
  <c r="Z24" i="1"/>
  <c r="I12" i="1"/>
  <c r="H14" i="1"/>
  <c r="M153" i="1"/>
  <c r="G80" i="1"/>
  <c r="Y4" i="1"/>
  <c r="AD28" i="1"/>
  <c r="AD14" i="1"/>
  <c r="Y61" i="1"/>
  <c r="W3" i="1"/>
  <c r="AD44" i="1"/>
  <c r="M19" i="1"/>
  <c r="AE124" i="1"/>
  <c r="H98" i="1"/>
  <c r="AD89" i="1"/>
  <c r="H50" i="1"/>
  <c r="AE28" i="1"/>
  <c r="M4" i="1"/>
  <c r="H39" i="1"/>
  <c r="Z28" i="1"/>
  <c r="H161" i="1"/>
  <c r="H120" i="1"/>
  <c r="Y89" i="1"/>
  <c r="AD153" i="1"/>
  <c r="Y81" i="1"/>
  <c r="M140" i="1"/>
  <c r="I28" i="1"/>
  <c r="AE54" i="1"/>
  <c r="AE69" i="1"/>
  <c r="M25" i="1"/>
  <c r="M24" i="1" s="1"/>
  <c r="K24" i="1"/>
  <c r="X80" i="1"/>
  <c r="Z81" i="1"/>
  <c r="M121" i="1"/>
  <c r="M120" i="1" s="1"/>
  <c r="K120" i="1"/>
  <c r="H89" i="1"/>
  <c r="H44" i="1"/>
  <c r="AE98" i="1"/>
  <c r="Y50" i="1"/>
  <c r="H4" i="1"/>
  <c r="I35" i="1"/>
  <c r="Y75" i="1"/>
  <c r="Z39" i="1"/>
  <c r="M14" i="1"/>
  <c r="Z14" i="1"/>
  <c r="K54" i="1"/>
  <c r="K4" i="1"/>
  <c r="I153" i="1"/>
  <c r="AB119" i="1"/>
  <c r="H124" i="1"/>
  <c r="K75" i="1"/>
  <c r="I132" i="1"/>
  <c r="Y54" i="1"/>
  <c r="F68" i="1"/>
  <c r="N68" i="1" s="1"/>
  <c r="M89" i="1"/>
  <c r="K44" i="1"/>
  <c r="M54" i="1"/>
  <c r="H24" i="1"/>
  <c r="F80" i="1"/>
  <c r="N80" i="1" s="1"/>
  <c r="K14" i="1"/>
  <c r="M141" i="1"/>
  <c r="N147" i="1"/>
  <c r="M133" i="1"/>
  <c r="M132" i="1" s="1"/>
  <c r="K132" i="1"/>
  <c r="AD81" i="1"/>
  <c r="I124" i="1"/>
  <c r="Z4" i="1"/>
  <c r="X3" i="1"/>
  <c r="H147" i="1"/>
  <c r="AD120" i="1"/>
  <c r="AD147" i="1"/>
  <c r="M125" i="1"/>
  <c r="M124" i="1" s="1"/>
  <c r="K124" i="1"/>
  <c r="I98" i="1"/>
  <c r="Z124" i="1"/>
  <c r="Z161" i="1"/>
  <c r="M99" i="1"/>
  <c r="M98" i="1" s="1"/>
  <c r="K98" i="1"/>
  <c r="F119" i="1"/>
  <c r="N119" i="1" s="1"/>
  <c r="H54" i="1"/>
  <c r="AB80" i="1"/>
  <c r="I147" i="1"/>
  <c r="AE81" i="1"/>
  <c r="AC80" i="1"/>
  <c r="H19" i="1"/>
  <c r="Z69" i="1"/>
  <c r="X68" i="1"/>
  <c r="K39" i="1"/>
  <c r="Z35" i="1"/>
  <c r="X34" i="1"/>
  <c r="AC3" i="1"/>
  <c r="N161" i="1"/>
  <c r="M62" i="1"/>
  <c r="M61" i="1" s="1"/>
  <c r="K61" i="1"/>
  <c r="AD109" i="1"/>
  <c r="M82" i="1"/>
  <c r="M81" i="1" s="1"/>
  <c r="K81" i="1"/>
  <c r="AE104" i="1"/>
  <c r="Z50" i="1"/>
  <c r="K89" i="1"/>
  <c r="M11" i="1"/>
  <c r="M10" i="1" s="1"/>
  <c r="K10" i="1"/>
  <c r="M44" i="1"/>
  <c r="M148" i="1"/>
  <c r="M147" i="1" s="1"/>
  <c r="K147" i="1"/>
  <c r="AE147" i="1"/>
  <c r="M107" i="1"/>
  <c r="M104" i="1" s="1"/>
  <c r="K104" i="1"/>
  <c r="W119" i="1"/>
  <c r="H109" i="1"/>
  <c r="H69" i="1"/>
  <c r="K50" i="1"/>
  <c r="F3" i="1"/>
  <c r="N3" i="1" s="1"/>
  <c r="N4" i="1"/>
  <c r="W34" i="1"/>
  <c r="M165" i="1"/>
  <c r="M161" i="1" s="1"/>
  <c r="K161" i="1"/>
  <c r="AC119" i="1"/>
  <c r="AE120" i="1"/>
  <c r="AD124" i="1"/>
  <c r="W80" i="1"/>
  <c r="I104" i="1"/>
  <c r="H75" i="1"/>
  <c r="I120" i="1"/>
  <c r="G119" i="1"/>
  <c r="I109" i="1"/>
  <c r="I39" i="1"/>
  <c r="G34" i="1"/>
  <c r="M110" i="1"/>
  <c r="M109" i="1" s="1"/>
  <c r="K109" i="1"/>
  <c r="K153" i="1"/>
  <c r="M70" i="1"/>
  <c r="M69" i="1" s="1"/>
  <c r="K69" i="1"/>
  <c r="Y39" i="1"/>
  <c r="M29" i="1"/>
  <c r="M28" i="1" s="1"/>
  <c r="K28" i="1"/>
  <c r="W68" i="1"/>
  <c r="M50" i="1"/>
  <c r="Y35" i="1"/>
  <c r="K19" i="1"/>
  <c r="E32" i="2" l="1"/>
  <c r="E14" i="2"/>
  <c r="E8" i="2"/>
  <c r="E9" i="2"/>
  <c r="D6" i="2"/>
  <c r="E6" i="2"/>
  <c r="E10" i="2"/>
  <c r="E15" i="2"/>
  <c r="E11" i="2"/>
  <c r="E28" i="2"/>
  <c r="E30" i="2"/>
  <c r="B29" i="2"/>
  <c r="E29" i="2" s="1"/>
  <c r="D30" i="2"/>
  <c r="D29" i="2" s="1"/>
  <c r="D19" i="2"/>
  <c r="E19" i="2"/>
  <c r="E22" i="2"/>
  <c r="D22" i="2"/>
  <c r="E36" i="2"/>
  <c r="E16" i="2"/>
  <c r="D21" i="2"/>
  <c r="B20" i="2"/>
  <c r="E20" i="2" s="1"/>
  <c r="E27" i="2"/>
  <c r="B12" i="2"/>
  <c r="E12" i="2" s="1"/>
  <c r="D13" i="2"/>
  <c r="E25" i="2"/>
  <c r="E26" i="2"/>
  <c r="D24" i="2"/>
  <c r="D23" i="2" s="1"/>
  <c r="B23" i="2"/>
  <c r="E23" i="2" s="1"/>
  <c r="E13" i="2"/>
  <c r="D34" i="2"/>
  <c r="E21" i="2"/>
  <c r="E31" i="2"/>
  <c r="B4" i="2"/>
  <c r="E4" i="2" s="1"/>
  <c r="B34" i="2"/>
  <c r="D7" i="2"/>
  <c r="E7" i="2"/>
  <c r="E18" i="2"/>
  <c r="E17" i="2"/>
  <c r="Y146" i="1"/>
  <c r="AD146" i="1"/>
  <c r="H146" i="1"/>
  <c r="K146" i="1"/>
  <c r="M139" i="1"/>
  <c r="M119" i="1" s="1"/>
  <c r="M146" i="1"/>
  <c r="AE34" i="1"/>
  <c r="Y119" i="1"/>
  <c r="Z119" i="1"/>
  <c r="Y68" i="1"/>
  <c r="AD68" i="1"/>
  <c r="I80" i="1"/>
  <c r="AE3" i="1"/>
  <c r="H34" i="1"/>
  <c r="AD3" i="1"/>
  <c r="M68" i="1"/>
  <c r="AE119" i="1"/>
  <c r="H80" i="1"/>
  <c r="Y80" i="1"/>
  <c r="Y3" i="1"/>
  <c r="I34" i="1"/>
  <c r="Z3" i="1"/>
  <c r="AD34" i="1"/>
  <c r="M34" i="1"/>
  <c r="Z146" i="1"/>
  <c r="M3" i="1"/>
  <c r="W166" i="1"/>
  <c r="H119" i="1"/>
  <c r="AE80" i="1"/>
  <c r="I68" i="1"/>
  <c r="Z34" i="1"/>
  <c r="K119" i="1"/>
  <c r="G166" i="1"/>
  <c r="I146" i="1"/>
  <c r="K3" i="1"/>
  <c r="H3" i="1"/>
  <c r="F166" i="1"/>
  <c r="AD80" i="1"/>
  <c r="K68" i="1"/>
  <c r="I119" i="1"/>
  <c r="H68" i="1"/>
  <c r="K80" i="1"/>
  <c r="X166" i="1"/>
  <c r="AD119" i="1"/>
  <c r="AE146" i="1"/>
  <c r="AC166" i="1"/>
  <c r="Z80" i="1"/>
  <c r="Y34" i="1"/>
  <c r="I3" i="1"/>
  <c r="K34" i="1"/>
  <c r="AB166" i="1"/>
  <c r="M80" i="1"/>
  <c r="Z68" i="1"/>
  <c r="D4" i="2" l="1"/>
  <c r="D12" i="2"/>
  <c r="B37" i="2"/>
  <c r="D20" i="2"/>
  <c r="N166" i="1"/>
  <c r="Y166" i="1"/>
  <c r="H166" i="1"/>
  <c r="AD166" i="1"/>
  <c r="K166" i="1"/>
  <c r="Z166" i="1"/>
  <c r="M166" i="1"/>
  <c r="I166" i="1"/>
  <c r="AE166" i="1"/>
  <c r="C37" i="2" l="1"/>
  <c r="E37" i="2" s="1"/>
  <c r="E34" i="2"/>
  <c r="D37" i="2"/>
</calcChain>
</file>

<file path=xl/sharedStrings.xml><?xml version="1.0" encoding="utf-8"?>
<sst xmlns="http://schemas.openxmlformats.org/spreadsheetml/2006/main" count="281" uniqueCount="210">
  <si>
    <t>Row Labels</t>
  </si>
  <si>
    <t>SR EXECUTIVE Names</t>
  </si>
  <si>
    <t>Executive</t>
  </si>
  <si>
    <t>Due List Total</t>
  </si>
  <si>
    <t>RCVD</t>
  </si>
  <si>
    <t>BLC</t>
  </si>
  <si>
    <t>%</t>
  </si>
  <si>
    <t>2W</t>
  </si>
  <si>
    <t>3W</t>
  </si>
  <si>
    <t>Sai Rekha</t>
  </si>
  <si>
    <t>Jamanna</t>
  </si>
  <si>
    <t>Alampur</t>
  </si>
  <si>
    <t>Gadwal</t>
  </si>
  <si>
    <t>Ieeza</t>
  </si>
  <si>
    <t>Shanthinagar</t>
  </si>
  <si>
    <t>Yerravalli</t>
  </si>
  <si>
    <t>NO_ TL bhainsa</t>
  </si>
  <si>
    <t>Bhainsa</t>
  </si>
  <si>
    <t>NO TL ADILABAD</t>
  </si>
  <si>
    <t>Adilabad</t>
  </si>
  <si>
    <t>SE ex</t>
  </si>
  <si>
    <t>Vijay - MBNR</t>
  </si>
  <si>
    <t>Kalwakurthi</t>
  </si>
  <si>
    <t>MahaboobNagar (Auto)</t>
  </si>
  <si>
    <t>Nagarkurnool (2W)</t>
  </si>
  <si>
    <t>Narayanpet</t>
  </si>
  <si>
    <t>Amjed Ali</t>
  </si>
  <si>
    <t>Devarakonda(2W)</t>
  </si>
  <si>
    <t>Miryalaguda</t>
  </si>
  <si>
    <t>Amangal</t>
  </si>
  <si>
    <t>Tukkuguda</t>
  </si>
  <si>
    <t>Satish</t>
  </si>
  <si>
    <t>Bhongir</t>
  </si>
  <si>
    <t>Nalgonda</t>
  </si>
  <si>
    <t>Huzurnagar</t>
  </si>
  <si>
    <t>Shamshuddin</t>
  </si>
  <si>
    <t>Huzurabad</t>
  </si>
  <si>
    <t>Peddapally</t>
  </si>
  <si>
    <t>Mancherial</t>
  </si>
  <si>
    <t>Karimnagar</t>
  </si>
  <si>
    <t>Warangal</t>
  </si>
  <si>
    <t xml:space="preserve">NARENDER </t>
  </si>
  <si>
    <t>Ashok</t>
  </si>
  <si>
    <t>Banswada</t>
  </si>
  <si>
    <t>Bodhan</t>
  </si>
  <si>
    <t>SE ex Naveen</t>
  </si>
  <si>
    <t>Nizamabad</t>
  </si>
  <si>
    <t>Vijay - Kamareddy</t>
  </si>
  <si>
    <t>Armoor (2W)</t>
  </si>
  <si>
    <t>Gandhari</t>
  </si>
  <si>
    <t>1N</t>
  </si>
  <si>
    <t>Kamareddy</t>
  </si>
  <si>
    <t>Toopran</t>
  </si>
  <si>
    <t>Veeranna</t>
  </si>
  <si>
    <t>Khammam (2W)</t>
  </si>
  <si>
    <t>Khammam</t>
  </si>
  <si>
    <t>Mahabubabad</t>
  </si>
  <si>
    <t>Suryapet</t>
  </si>
  <si>
    <t>Sathupalli</t>
  </si>
  <si>
    <t>Gnanamuthyam</t>
  </si>
  <si>
    <t>Kothagudem (2W)</t>
  </si>
  <si>
    <t>Kothagudem (Auto)</t>
  </si>
  <si>
    <t>Anumanna</t>
  </si>
  <si>
    <t>Kodumur</t>
  </si>
  <si>
    <t>Kosigi</t>
  </si>
  <si>
    <t>Kurnool (2W)</t>
  </si>
  <si>
    <t>Kurnool (Auto)</t>
  </si>
  <si>
    <t>Nandyal</t>
  </si>
  <si>
    <t>Yemmiganur</t>
  </si>
  <si>
    <t>Kulayapeera</t>
  </si>
  <si>
    <t>Ananthapur</t>
  </si>
  <si>
    <t>Gorantla</t>
  </si>
  <si>
    <t>Guntakal</t>
  </si>
  <si>
    <t>Sales /Coll</t>
  </si>
  <si>
    <t>Uravakonda</t>
  </si>
  <si>
    <t>Hindupur_Direct</t>
  </si>
  <si>
    <t>Hindupuar (2W)</t>
  </si>
  <si>
    <t>SE ex Ram</t>
  </si>
  <si>
    <t>Priyanka</t>
  </si>
  <si>
    <t>Siva Prasad</t>
  </si>
  <si>
    <t>Kadapa</t>
  </si>
  <si>
    <t>Badvel</t>
  </si>
  <si>
    <t>Porumamilla (2W)</t>
  </si>
  <si>
    <t>Rajampet</t>
  </si>
  <si>
    <t>Vempalli</t>
  </si>
  <si>
    <t>Dadapeer</t>
  </si>
  <si>
    <t>Kadiri</t>
  </si>
  <si>
    <t>Jammalamadugu</t>
  </si>
  <si>
    <t>Rayachoty (2W)</t>
  </si>
  <si>
    <t>Proddatur (2W)</t>
  </si>
  <si>
    <t>Divya</t>
  </si>
  <si>
    <t>Balraju</t>
  </si>
  <si>
    <t>Achampeta</t>
  </si>
  <si>
    <t>Kothakota</t>
  </si>
  <si>
    <t>Kollapur</t>
  </si>
  <si>
    <t>MahaboobNagar</t>
  </si>
  <si>
    <t>Makthal</t>
  </si>
  <si>
    <t>Wanaparthy</t>
  </si>
  <si>
    <t>ILYAZ</t>
  </si>
  <si>
    <t>Kodangal(2W)</t>
  </si>
  <si>
    <t>Kodangal (Auto)</t>
  </si>
  <si>
    <t>Kosgi</t>
  </si>
  <si>
    <t>Kulakacharla</t>
  </si>
  <si>
    <t>Kulakacherla (Auto)</t>
  </si>
  <si>
    <t>Parigi</t>
  </si>
  <si>
    <t>Vikarabad</t>
  </si>
  <si>
    <t>Zaheerabad - 1</t>
  </si>
  <si>
    <t>Krishnamurthy</t>
  </si>
  <si>
    <t>Medak</t>
  </si>
  <si>
    <t>Pitlam</t>
  </si>
  <si>
    <t>Sangareddy</t>
  </si>
  <si>
    <t>Zaheerabad</t>
  </si>
  <si>
    <t>Narayankhed</t>
  </si>
  <si>
    <t>NO -TL - WGL</t>
  </si>
  <si>
    <t>Bhupalpally</t>
  </si>
  <si>
    <t>Eturunagaram (2W)</t>
  </si>
  <si>
    <t>Mulugu</t>
  </si>
  <si>
    <t>Siricilla</t>
  </si>
  <si>
    <t>Murali</t>
  </si>
  <si>
    <t>Chirala</t>
  </si>
  <si>
    <t>Cumbum (2W)</t>
  </si>
  <si>
    <t>Giddalur</t>
  </si>
  <si>
    <t>Kanigiri</t>
  </si>
  <si>
    <t>Ongole</t>
  </si>
  <si>
    <t>Markapur</t>
  </si>
  <si>
    <t>Vinukonda (2W)</t>
  </si>
  <si>
    <t>Yerragondapalem</t>
  </si>
  <si>
    <t>NAGESHWARRAO</t>
  </si>
  <si>
    <t>PRAKASH</t>
  </si>
  <si>
    <t>Kothuru</t>
  </si>
  <si>
    <t>Ranastalam</t>
  </si>
  <si>
    <t>Vizag</t>
  </si>
  <si>
    <t>1R</t>
  </si>
  <si>
    <t>Dinesh</t>
  </si>
  <si>
    <t>Raju</t>
  </si>
  <si>
    <t>Gokavaram</t>
  </si>
  <si>
    <t>Mandapeta</t>
  </si>
  <si>
    <t>Kovvur</t>
  </si>
  <si>
    <t>Rajahmundry</t>
  </si>
  <si>
    <t>Bhimavaram</t>
  </si>
  <si>
    <t>Jangareddygudem</t>
  </si>
  <si>
    <t>Ravulapalem</t>
  </si>
  <si>
    <t>Satyanarayana</t>
  </si>
  <si>
    <t>Amalapuram</t>
  </si>
  <si>
    <t>Jaggampeta</t>
  </si>
  <si>
    <t>Kakinada</t>
  </si>
  <si>
    <t>Peddapuram</t>
  </si>
  <si>
    <t>Prathipadu</t>
  </si>
  <si>
    <t>Tuni</t>
  </si>
  <si>
    <t>Thrinath</t>
  </si>
  <si>
    <t>Eluru</t>
  </si>
  <si>
    <t>Venkanna</t>
  </si>
  <si>
    <t>Machilipatnam</t>
  </si>
  <si>
    <t>Nuzivid (2W)</t>
  </si>
  <si>
    <t>Vijayawada</t>
  </si>
  <si>
    <t>Gudivada (2W)</t>
  </si>
  <si>
    <t>Abhilash</t>
  </si>
  <si>
    <t>Mangalagiri (2W)</t>
  </si>
  <si>
    <t>Karempudi</t>
  </si>
  <si>
    <t>Guntur</t>
  </si>
  <si>
    <t>2N</t>
  </si>
  <si>
    <t>Repalle</t>
  </si>
  <si>
    <t>Tenali</t>
  </si>
  <si>
    <t>Iliyaz  - kak</t>
  </si>
  <si>
    <t>Devadurga</t>
  </si>
  <si>
    <t>Hospet</t>
  </si>
  <si>
    <t>Maski</t>
  </si>
  <si>
    <t>Sindhanur</t>
  </si>
  <si>
    <t>Manvi</t>
  </si>
  <si>
    <t>Siriguppa (2W)</t>
  </si>
  <si>
    <t>Yadgir</t>
  </si>
  <si>
    <t>K.K</t>
  </si>
  <si>
    <t>Attapur (Auto)</t>
  </si>
  <si>
    <t>LB Nagar</t>
  </si>
  <si>
    <t>Chintal (Auto)</t>
  </si>
  <si>
    <t>KingKoti (Cars)</t>
  </si>
  <si>
    <t>Grand Total</t>
  </si>
  <si>
    <t>Paloncha (2W)</t>
  </si>
  <si>
    <t>Devarkadra (2W)</t>
  </si>
  <si>
    <t>Narasaraopeta (2W)</t>
  </si>
  <si>
    <t>Vuyyuru</t>
  </si>
  <si>
    <t>1st %</t>
  </si>
  <si>
    <t>3rd %</t>
  </si>
  <si>
    <t>1st Nov</t>
  </si>
  <si>
    <t>2nd Nov</t>
  </si>
  <si>
    <t>3rd Nov</t>
  </si>
  <si>
    <t>4th Nov</t>
  </si>
  <si>
    <t>G Total</t>
  </si>
  <si>
    <t>Leave</t>
  </si>
  <si>
    <t>KK</t>
  </si>
  <si>
    <t xml:space="preserve">Agency </t>
  </si>
  <si>
    <t>Sales</t>
  </si>
  <si>
    <t>Total</t>
  </si>
  <si>
    <t>Date :05.11.2025</t>
  </si>
  <si>
    <t>4th %</t>
  </si>
  <si>
    <t>5th Nov</t>
  </si>
  <si>
    <t>Vijay Joined</t>
  </si>
  <si>
    <t>Vamshi Joined</t>
  </si>
  <si>
    <t>Shyam /6/11/25</t>
  </si>
  <si>
    <t>Existing Team</t>
  </si>
  <si>
    <t>3 Persons are There</t>
  </si>
  <si>
    <t>Kranthi</t>
  </si>
  <si>
    <t>Peeraiah Not Good</t>
  </si>
  <si>
    <t>Jayanth</t>
  </si>
  <si>
    <t>Praveen</t>
  </si>
  <si>
    <t>Target 8%</t>
  </si>
  <si>
    <t>Time :</t>
  </si>
  <si>
    <t>Date :06.11.2025</t>
  </si>
  <si>
    <t>5th %</t>
  </si>
  <si>
    <t>7th July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</si>
</sst>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3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5" borderId="1" xfId="0" applyNumberFormat="1" applyFont="1" applyFill="1" applyBorder="1"/>
    <xf numFmtId="164" fontId="3" fillId="5" borderId="1" xfId="2" applyNumberFormat="1" applyFont="1" applyFill="1" applyBorder="1" applyAlignment="1">
      <alignment horizontal="center"/>
    </xf>
    <xf numFmtId="165" fontId="3" fillId="4" borderId="1" xfId="1" applyNumberFormat="1" applyFont="1" applyFill="1" applyBorder="1" applyAlignment="1"/>
    <xf numFmtId="0" fontId="4" fillId="0" borderId="1" xfId="0" applyFont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165" fontId="3" fillId="5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" fontId="3" fillId="5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5" fontId="4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3" fillId="4" borderId="1" xfId="0" applyFont="1" applyFill="1" applyBorder="1"/>
    <xf numFmtId="1" fontId="2" fillId="0" borderId="1" xfId="0" applyNumberFormat="1" applyFont="1" applyBorder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164" fontId="7" fillId="0" borderId="1" xfId="2" applyNumberFormat="1" applyFont="1" applyBorder="1" applyAlignment="1">
      <alignment horizontal="center"/>
    </xf>
    <xf numFmtId="165" fontId="7" fillId="0" borderId="1" xfId="1" applyNumberFormat="1" applyFont="1" applyBorder="1" applyAlignment="1">
      <alignment wrapText="1"/>
    </xf>
    <xf numFmtId="165" fontId="7" fillId="0" borderId="1" xfId="1" applyNumberFormat="1" applyFont="1" applyBorder="1" applyAlignment="1"/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/>
    <xf numFmtId="164" fontId="7" fillId="3" borderId="1" xfId="2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1" fontId="7" fillId="5" borderId="1" xfId="0" applyNumberFormat="1" applyFont="1" applyFill="1" applyBorder="1"/>
    <xf numFmtId="164" fontId="7" fillId="5" borderId="1" xfId="2" applyNumberFormat="1" applyFont="1" applyFill="1" applyBorder="1" applyAlignment="1">
      <alignment horizontal="center"/>
    </xf>
    <xf numFmtId="164" fontId="7" fillId="0" borderId="1" xfId="2" applyNumberFormat="1" applyFont="1" applyBorder="1"/>
    <xf numFmtId="164" fontId="7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left" indent="1"/>
    </xf>
    <xf numFmtId="0" fontId="7" fillId="3" borderId="1" xfId="0" applyFont="1" applyFill="1" applyBorder="1" applyAlignment="1">
      <alignment horizontal="left"/>
    </xf>
    <xf numFmtId="165" fontId="7" fillId="3" borderId="1" xfId="1" applyNumberFormat="1" applyFont="1" applyFill="1" applyBorder="1" applyAlignment="1"/>
    <xf numFmtId="0" fontId="8" fillId="0" borderId="1" xfId="0" applyFont="1" applyBorder="1" applyAlignment="1">
      <alignment horizontal="left" indent="2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165" fontId="8" fillId="0" borderId="1" xfId="0" applyNumberFormat="1" applyFont="1" applyBorder="1"/>
    <xf numFmtId="165" fontId="8" fillId="0" borderId="1" xfId="1" applyNumberFormat="1" applyFont="1" applyBorder="1" applyAlignment="1"/>
    <xf numFmtId="165" fontId="7" fillId="3" borderId="1" xfId="1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left" indent="2"/>
    </xf>
    <xf numFmtId="0" fontId="8" fillId="3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/>
    <xf numFmtId="1" fontId="8" fillId="3" borderId="1" xfId="0" applyNumberFormat="1" applyFont="1" applyFill="1" applyBorder="1"/>
    <xf numFmtId="1" fontId="7" fillId="3" borderId="1" xfId="0" applyNumberFormat="1" applyFont="1" applyFill="1" applyBorder="1"/>
    <xf numFmtId="165" fontId="7" fillId="3" borderId="1" xfId="0" applyNumberFormat="1" applyFont="1" applyFill="1" applyBorder="1"/>
    <xf numFmtId="0" fontId="8" fillId="0" borderId="5" xfId="0" applyFont="1" applyBorder="1"/>
    <xf numFmtId="1" fontId="7" fillId="5" borderId="1" xfId="0" applyNumberFormat="1" applyFont="1" applyFill="1" applyBorder="1" applyAlignment="1">
      <alignment horizontal="right"/>
    </xf>
    <xf numFmtId="0" fontId="7" fillId="5" borderId="1" xfId="0" applyFont="1" applyFill="1" applyBorder="1"/>
    <xf numFmtId="165" fontId="7" fillId="5" borderId="1" xfId="0" applyNumberFormat="1" applyFont="1" applyFill="1" applyBorder="1"/>
    <xf numFmtId="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164" fontId="8" fillId="5" borderId="1" xfId="2" applyNumberFormat="1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left"/>
    </xf>
    <xf numFmtId="165" fontId="7" fillId="4" borderId="1" xfId="1" applyNumberFormat="1" applyFont="1" applyFill="1" applyBorder="1" applyAlignment="1">
      <alignment horizontal="right"/>
    </xf>
    <xf numFmtId="165" fontId="7" fillId="4" borderId="1" xfId="1" applyNumberFormat="1" applyFont="1" applyFill="1" applyBorder="1" applyAlignment="1"/>
    <xf numFmtId="165" fontId="8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dma/Desktop/Nov%20Opening/Opening%20Nov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Sheet1"/>
      <sheetName val="2w &amp; 3w"/>
      <sheetName val="Due List"/>
    </sheetNames>
    <sheetDataSet>
      <sheetData sheetId="0"/>
      <sheetData sheetId="1">
        <row r="3">
          <cell r="A3" t="str">
            <v>Count of Loan Number2</v>
          </cell>
          <cell r="B3" t="str">
            <v>Column Labels</v>
          </cell>
        </row>
        <row r="4">
          <cell r="A4" t="str">
            <v>Row Labels</v>
          </cell>
          <cell r="B4" t="str">
            <v>Not Paid</v>
          </cell>
          <cell r="C4" t="str">
            <v>paid</v>
          </cell>
          <cell r="D4" t="str">
            <v>Grand Total</v>
          </cell>
        </row>
        <row r="5">
          <cell r="A5" t="str">
            <v>DIVYA</v>
          </cell>
          <cell r="B5">
            <v>2927</v>
          </cell>
          <cell r="C5">
            <v>404</v>
          </cell>
          <cell r="D5">
            <v>3331</v>
          </cell>
        </row>
        <row r="6">
          <cell r="A6" t="str">
            <v>Balraju</v>
          </cell>
          <cell r="B6">
            <v>615</v>
          </cell>
          <cell r="C6">
            <v>83</v>
          </cell>
          <cell r="D6">
            <v>698</v>
          </cell>
        </row>
        <row r="7">
          <cell r="A7" t="str">
            <v>Achampeta</v>
          </cell>
          <cell r="B7">
            <v>135</v>
          </cell>
          <cell r="C7">
            <v>18</v>
          </cell>
          <cell r="D7">
            <v>153</v>
          </cell>
        </row>
        <row r="8">
          <cell r="A8" t="str">
            <v>Devarkadra (2W)</v>
          </cell>
          <cell r="B8">
            <v>94</v>
          </cell>
          <cell r="C8">
            <v>14</v>
          </cell>
          <cell r="D8">
            <v>108</v>
          </cell>
        </row>
        <row r="9">
          <cell r="A9" t="str">
            <v>Kollapur</v>
          </cell>
          <cell r="B9">
            <v>62</v>
          </cell>
          <cell r="C9">
            <v>12</v>
          </cell>
          <cell r="D9">
            <v>74</v>
          </cell>
        </row>
        <row r="10">
          <cell r="A10" t="str">
            <v>Kothakota</v>
          </cell>
          <cell r="B10">
            <v>58</v>
          </cell>
          <cell r="C10">
            <v>4</v>
          </cell>
          <cell r="D10">
            <v>62</v>
          </cell>
        </row>
        <row r="11">
          <cell r="A11" t="str">
            <v>MahaboobNagar</v>
          </cell>
          <cell r="B11">
            <v>101</v>
          </cell>
          <cell r="C11">
            <v>15</v>
          </cell>
          <cell r="D11">
            <v>116</v>
          </cell>
        </row>
        <row r="12">
          <cell r="A12" t="str">
            <v>Makthal</v>
          </cell>
          <cell r="B12">
            <v>69</v>
          </cell>
          <cell r="C12">
            <v>9</v>
          </cell>
          <cell r="D12">
            <v>78</v>
          </cell>
        </row>
        <row r="13">
          <cell r="A13" t="str">
            <v>Wanaparthy</v>
          </cell>
          <cell r="B13">
            <v>96</v>
          </cell>
          <cell r="C13">
            <v>11</v>
          </cell>
          <cell r="D13">
            <v>107</v>
          </cell>
        </row>
        <row r="14">
          <cell r="A14" t="str">
            <v>ILYAZ</v>
          </cell>
          <cell r="B14">
            <v>794</v>
          </cell>
          <cell r="C14">
            <v>139</v>
          </cell>
          <cell r="D14">
            <v>933</v>
          </cell>
        </row>
        <row r="15">
          <cell r="A15" t="str">
            <v>Kodangal (Auto)</v>
          </cell>
          <cell r="B15">
            <v>92</v>
          </cell>
          <cell r="C15">
            <v>13</v>
          </cell>
          <cell r="D15">
            <v>105</v>
          </cell>
        </row>
        <row r="16">
          <cell r="A16" t="str">
            <v>Kodangal(2W)</v>
          </cell>
          <cell r="B16">
            <v>158</v>
          </cell>
          <cell r="C16">
            <v>35</v>
          </cell>
          <cell r="D16">
            <v>193</v>
          </cell>
        </row>
        <row r="17">
          <cell r="A17" t="str">
            <v>Kosgi</v>
          </cell>
          <cell r="B17">
            <v>115</v>
          </cell>
          <cell r="C17">
            <v>15</v>
          </cell>
          <cell r="D17">
            <v>130</v>
          </cell>
        </row>
        <row r="18">
          <cell r="A18" t="str">
            <v>Kulakacharla</v>
          </cell>
          <cell r="B18">
            <v>84</v>
          </cell>
          <cell r="C18">
            <v>10</v>
          </cell>
          <cell r="D18">
            <v>94</v>
          </cell>
        </row>
        <row r="19">
          <cell r="A19" t="str">
            <v>Kulakacherla (Auto)</v>
          </cell>
          <cell r="B19">
            <v>91</v>
          </cell>
          <cell r="C19">
            <v>26</v>
          </cell>
          <cell r="D19">
            <v>117</v>
          </cell>
        </row>
        <row r="20">
          <cell r="A20" t="str">
            <v>Parigi</v>
          </cell>
          <cell r="B20">
            <v>95</v>
          </cell>
          <cell r="C20">
            <v>18</v>
          </cell>
          <cell r="D20">
            <v>113</v>
          </cell>
        </row>
        <row r="21">
          <cell r="A21" t="str">
            <v>Vikarabad</v>
          </cell>
          <cell r="B21">
            <v>61</v>
          </cell>
          <cell r="C21">
            <v>13</v>
          </cell>
          <cell r="D21">
            <v>74</v>
          </cell>
        </row>
        <row r="22">
          <cell r="A22" t="str">
            <v>Zaheerabad - 1</v>
          </cell>
          <cell r="B22">
            <v>98</v>
          </cell>
          <cell r="C22">
            <v>9</v>
          </cell>
          <cell r="D22">
            <v>107</v>
          </cell>
        </row>
        <row r="23">
          <cell r="A23" t="str">
            <v>Krishnamurthy</v>
          </cell>
          <cell r="B23">
            <v>582</v>
          </cell>
          <cell r="C23">
            <v>79</v>
          </cell>
          <cell r="D23">
            <v>661</v>
          </cell>
        </row>
        <row r="24">
          <cell r="A24" t="str">
            <v>Medak</v>
          </cell>
          <cell r="B24">
            <v>108</v>
          </cell>
          <cell r="C24">
            <v>17</v>
          </cell>
          <cell r="D24">
            <v>125</v>
          </cell>
        </row>
        <row r="25">
          <cell r="A25" t="str">
            <v>Narayankhed</v>
          </cell>
          <cell r="B25">
            <v>151</v>
          </cell>
          <cell r="C25">
            <v>23</v>
          </cell>
          <cell r="D25">
            <v>174</v>
          </cell>
        </row>
        <row r="26">
          <cell r="A26" t="str">
            <v>Pitlam</v>
          </cell>
          <cell r="B26">
            <v>143</v>
          </cell>
          <cell r="C26">
            <v>7</v>
          </cell>
          <cell r="D26">
            <v>150</v>
          </cell>
        </row>
        <row r="27">
          <cell r="A27" t="str">
            <v>Sangareddy</v>
          </cell>
          <cell r="B27">
            <v>65</v>
          </cell>
          <cell r="C27">
            <v>7</v>
          </cell>
          <cell r="D27">
            <v>72</v>
          </cell>
        </row>
        <row r="28">
          <cell r="A28" t="str">
            <v>Zaheerabad</v>
          </cell>
          <cell r="B28">
            <v>115</v>
          </cell>
          <cell r="C28">
            <v>25</v>
          </cell>
          <cell r="D28">
            <v>140</v>
          </cell>
        </row>
        <row r="29">
          <cell r="A29" t="str">
            <v>Murali</v>
          </cell>
          <cell r="B29">
            <v>620</v>
          </cell>
          <cell r="C29">
            <v>69</v>
          </cell>
          <cell r="D29">
            <v>689</v>
          </cell>
        </row>
        <row r="30">
          <cell r="A30" t="str">
            <v>Chirala</v>
          </cell>
          <cell r="B30">
            <v>49</v>
          </cell>
          <cell r="C30">
            <v>9</v>
          </cell>
          <cell r="D30">
            <v>58</v>
          </cell>
        </row>
        <row r="31">
          <cell r="A31" t="str">
            <v>Cumbum (2W)</v>
          </cell>
          <cell r="B31">
            <v>17</v>
          </cell>
          <cell r="D31">
            <v>17</v>
          </cell>
        </row>
        <row r="32">
          <cell r="A32" t="str">
            <v>Giddalur</v>
          </cell>
          <cell r="B32">
            <v>113</v>
          </cell>
          <cell r="C32">
            <v>7</v>
          </cell>
          <cell r="D32">
            <v>120</v>
          </cell>
        </row>
        <row r="33">
          <cell r="A33" t="str">
            <v>Kanigiri</v>
          </cell>
          <cell r="B33">
            <v>75</v>
          </cell>
          <cell r="C33">
            <v>9</v>
          </cell>
          <cell r="D33">
            <v>84</v>
          </cell>
        </row>
        <row r="34">
          <cell r="A34" t="str">
            <v>Markapur</v>
          </cell>
          <cell r="B34">
            <v>83</v>
          </cell>
          <cell r="C34">
            <v>13</v>
          </cell>
          <cell r="D34">
            <v>96</v>
          </cell>
        </row>
        <row r="35">
          <cell r="A35" t="str">
            <v>Narasaraopeta (2W)</v>
          </cell>
          <cell r="B35">
            <v>105</v>
          </cell>
          <cell r="C35">
            <v>11</v>
          </cell>
          <cell r="D35">
            <v>116</v>
          </cell>
        </row>
        <row r="36">
          <cell r="A36" t="str">
            <v>Ongole</v>
          </cell>
          <cell r="B36">
            <v>62</v>
          </cell>
          <cell r="C36">
            <v>4</v>
          </cell>
          <cell r="D36">
            <v>66</v>
          </cell>
        </row>
        <row r="37">
          <cell r="A37" t="str">
            <v>Vinukonda (2W)</v>
          </cell>
          <cell r="B37">
            <v>50</v>
          </cell>
          <cell r="C37">
            <v>5</v>
          </cell>
          <cell r="D37">
            <v>55</v>
          </cell>
        </row>
        <row r="38">
          <cell r="A38" t="str">
            <v>Yerragondapalem</v>
          </cell>
          <cell r="B38">
            <v>66</v>
          </cell>
          <cell r="C38">
            <v>11</v>
          </cell>
          <cell r="D38">
            <v>77</v>
          </cell>
        </row>
        <row r="39">
          <cell r="A39" t="str">
            <v>NO -TL - WGL</v>
          </cell>
          <cell r="B39">
            <v>316</v>
          </cell>
          <cell r="C39">
            <v>34</v>
          </cell>
          <cell r="D39">
            <v>350</v>
          </cell>
        </row>
        <row r="40">
          <cell r="A40" t="str">
            <v>Bhupalpally</v>
          </cell>
          <cell r="B40">
            <v>65</v>
          </cell>
          <cell r="C40">
            <v>13</v>
          </cell>
          <cell r="D40">
            <v>78</v>
          </cell>
        </row>
        <row r="41">
          <cell r="A41" t="str">
            <v>Eturunagaram (2W)</v>
          </cell>
          <cell r="B41">
            <v>29</v>
          </cell>
          <cell r="C41">
            <v>2</v>
          </cell>
          <cell r="D41">
            <v>31</v>
          </cell>
        </row>
        <row r="42">
          <cell r="A42" t="str">
            <v>Mulugu</v>
          </cell>
          <cell r="B42">
            <v>112</v>
          </cell>
          <cell r="C42">
            <v>10</v>
          </cell>
          <cell r="D42">
            <v>122</v>
          </cell>
        </row>
        <row r="43">
          <cell r="A43" t="str">
            <v>Siricilla</v>
          </cell>
          <cell r="B43">
            <v>110</v>
          </cell>
          <cell r="C43">
            <v>9</v>
          </cell>
          <cell r="D43">
            <v>119</v>
          </cell>
        </row>
        <row r="44">
          <cell r="A44" t="str">
            <v>K.K</v>
          </cell>
          <cell r="B44">
            <v>132</v>
          </cell>
          <cell r="C44">
            <v>11</v>
          </cell>
          <cell r="D44">
            <v>143</v>
          </cell>
        </row>
        <row r="45">
          <cell r="A45" t="str">
            <v>K.K</v>
          </cell>
          <cell r="B45">
            <v>132</v>
          </cell>
          <cell r="C45">
            <v>11</v>
          </cell>
          <cell r="D45">
            <v>143</v>
          </cell>
        </row>
        <row r="46">
          <cell r="A46" t="str">
            <v>KingKoti (Cars)</v>
          </cell>
          <cell r="B46">
            <v>10</v>
          </cell>
          <cell r="D46">
            <v>10</v>
          </cell>
        </row>
        <row r="47">
          <cell r="A47" t="str">
            <v>LB Nagar</v>
          </cell>
          <cell r="B47">
            <v>61</v>
          </cell>
          <cell r="C47">
            <v>4</v>
          </cell>
          <cell r="D47">
            <v>65</v>
          </cell>
        </row>
        <row r="48">
          <cell r="A48" t="str">
            <v>Attapur (Auto)</v>
          </cell>
          <cell r="B48">
            <v>54</v>
          </cell>
          <cell r="C48">
            <v>6</v>
          </cell>
          <cell r="D48">
            <v>60</v>
          </cell>
        </row>
        <row r="49">
          <cell r="A49" t="str">
            <v>Chintal (Auto)</v>
          </cell>
          <cell r="B49">
            <v>7</v>
          </cell>
          <cell r="C49">
            <v>1</v>
          </cell>
          <cell r="D49">
            <v>8</v>
          </cell>
        </row>
        <row r="50">
          <cell r="A50" t="str">
            <v>NAGESHWARRAO</v>
          </cell>
          <cell r="B50">
            <v>2957</v>
          </cell>
          <cell r="C50">
            <v>322</v>
          </cell>
          <cell r="D50">
            <v>3279</v>
          </cell>
        </row>
        <row r="51">
          <cell r="A51" t="str">
            <v>PRAKASH</v>
          </cell>
          <cell r="B51">
            <v>363</v>
          </cell>
          <cell r="C51">
            <v>36</v>
          </cell>
          <cell r="D51">
            <v>399</v>
          </cell>
        </row>
        <row r="52">
          <cell r="A52" t="str">
            <v>Kothuru</v>
          </cell>
          <cell r="B52">
            <v>121</v>
          </cell>
          <cell r="C52">
            <v>10</v>
          </cell>
          <cell r="D52">
            <v>131</v>
          </cell>
        </row>
        <row r="53">
          <cell r="A53" t="str">
            <v>Ranastalam</v>
          </cell>
          <cell r="B53">
            <v>70</v>
          </cell>
          <cell r="C53">
            <v>2</v>
          </cell>
          <cell r="D53">
            <v>72</v>
          </cell>
        </row>
        <row r="54">
          <cell r="A54" t="str">
            <v>Vizag</v>
          </cell>
          <cell r="B54">
            <v>172</v>
          </cell>
          <cell r="C54">
            <v>24</v>
          </cell>
          <cell r="D54">
            <v>196</v>
          </cell>
        </row>
        <row r="55">
          <cell r="A55" t="str">
            <v>Raju</v>
          </cell>
          <cell r="B55">
            <v>861</v>
          </cell>
          <cell r="C55">
            <v>106</v>
          </cell>
          <cell r="D55">
            <v>967</v>
          </cell>
        </row>
        <row r="56">
          <cell r="A56" t="str">
            <v>Bhimavaram</v>
          </cell>
          <cell r="B56">
            <v>86</v>
          </cell>
          <cell r="C56">
            <v>10</v>
          </cell>
          <cell r="D56">
            <v>96</v>
          </cell>
        </row>
        <row r="57">
          <cell r="A57" t="str">
            <v>Gokavaram</v>
          </cell>
          <cell r="B57">
            <v>130</v>
          </cell>
          <cell r="C57">
            <v>11</v>
          </cell>
          <cell r="D57">
            <v>141</v>
          </cell>
        </row>
        <row r="58">
          <cell r="A58" t="str">
            <v>Jangareddygudem</v>
          </cell>
          <cell r="B58">
            <v>91</v>
          </cell>
          <cell r="C58">
            <v>9</v>
          </cell>
          <cell r="D58">
            <v>100</v>
          </cell>
        </row>
        <row r="59">
          <cell r="A59" t="str">
            <v>Kovvur</v>
          </cell>
          <cell r="B59">
            <v>80</v>
          </cell>
          <cell r="C59">
            <v>10</v>
          </cell>
          <cell r="D59">
            <v>90</v>
          </cell>
        </row>
        <row r="60">
          <cell r="A60" t="str">
            <v>Mandapeta</v>
          </cell>
          <cell r="B60">
            <v>170</v>
          </cell>
          <cell r="C60">
            <v>19</v>
          </cell>
          <cell r="D60">
            <v>189</v>
          </cell>
        </row>
        <row r="61">
          <cell r="A61" t="str">
            <v>Rajahmundry</v>
          </cell>
          <cell r="B61">
            <v>199</v>
          </cell>
          <cell r="C61">
            <v>37</v>
          </cell>
          <cell r="D61">
            <v>236</v>
          </cell>
        </row>
        <row r="62">
          <cell r="A62" t="str">
            <v>Ravulapalem</v>
          </cell>
          <cell r="B62">
            <v>105</v>
          </cell>
          <cell r="C62">
            <v>10</v>
          </cell>
          <cell r="D62">
            <v>115</v>
          </cell>
        </row>
        <row r="63">
          <cell r="A63" t="str">
            <v>Satyanarayana</v>
          </cell>
          <cell r="B63">
            <v>752</v>
          </cell>
          <cell r="C63">
            <v>108</v>
          </cell>
          <cell r="D63">
            <v>860</v>
          </cell>
        </row>
        <row r="64">
          <cell r="A64" t="str">
            <v>Amalapuram</v>
          </cell>
          <cell r="B64">
            <v>105</v>
          </cell>
          <cell r="C64">
            <v>16</v>
          </cell>
          <cell r="D64">
            <v>121</v>
          </cell>
        </row>
        <row r="65">
          <cell r="A65" t="str">
            <v>Jaggampeta</v>
          </cell>
          <cell r="B65">
            <v>94</v>
          </cell>
          <cell r="C65">
            <v>9</v>
          </cell>
          <cell r="D65">
            <v>103</v>
          </cell>
        </row>
        <row r="66">
          <cell r="A66" t="str">
            <v>Kakinada</v>
          </cell>
          <cell r="B66">
            <v>217</v>
          </cell>
          <cell r="C66">
            <v>40</v>
          </cell>
          <cell r="D66">
            <v>257</v>
          </cell>
        </row>
        <row r="67">
          <cell r="A67" t="str">
            <v>Peddapuram</v>
          </cell>
          <cell r="B67">
            <v>85</v>
          </cell>
          <cell r="C67">
            <v>7</v>
          </cell>
          <cell r="D67">
            <v>92</v>
          </cell>
        </row>
        <row r="68">
          <cell r="A68" t="str">
            <v>Prathipadu</v>
          </cell>
          <cell r="B68">
            <v>151</v>
          </cell>
          <cell r="C68">
            <v>19</v>
          </cell>
          <cell r="D68">
            <v>170</v>
          </cell>
        </row>
        <row r="69">
          <cell r="A69" t="str">
            <v>Tuni</v>
          </cell>
          <cell r="B69">
            <v>100</v>
          </cell>
          <cell r="C69">
            <v>17</v>
          </cell>
          <cell r="D69">
            <v>117</v>
          </cell>
        </row>
        <row r="70">
          <cell r="A70" t="str">
            <v>TRINADH</v>
          </cell>
          <cell r="B70">
            <v>981</v>
          </cell>
          <cell r="C70">
            <v>72</v>
          </cell>
          <cell r="D70">
            <v>1053</v>
          </cell>
        </row>
        <row r="71">
          <cell r="A71" t="str">
            <v>Eluru</v>
          </cell>
          <cell r="B71">
            <v>314</v>
          </cell>
          <cell r="C71">
            <v>21</v>
          </cell>
          <cell r="D71">
            <v>335</v>
          </cell>
        </row>
        <row r="72">
          <cell r="A72" t="str">
            <v>Gudivada (2W)</v>
          </cell>
          <cell r="B72">
            <v>115</v>
          </cell>
          <cell r="C72">
            <v>5</v>
          </cell>
          <cell r="D72">
            <v>120</v>
          </cell>
        </row>
        <row r="73">
          <cell r="A73" t="str">
            <v>Machilipatnam</v>
          </cell>
          <cell r="B73">
            <v>198</v>
          </cell>
          <cell r="C73">
            <v>15</v>
          </cell>
          <cell r="D73">
            <v>213</v>
          </cell>
        </row>
        <row r="74">
          <cell r="A74" t="str">
            <v>Nuzivid (2W)</v>
          </cell>
          <cell r="B74">
            <v>147</v>
          </cell>
          <cell r="C74">
            <v>15</v>
          </cell>
          <cell r="D74">
            <v>162</v>
          </cell>
        </row>
        <row r="75">
          <cell r="A75" t="str">
            <v>Vijayawada</v>
          </cell>
          <cell r="B75">
            <v>105</v>
          </cell>
          <cell r="C75">
            <v>8</v>
          </cell>
          <cell r="D75">
            <v>113</v>
          </cell>
        </row>
        <row r="76">
          <cell r="A76" t="str">
            <v>Vuyyuru</v>
          </cell>
          <cell r="B76">
            <v>102</v>
          </cell>
          <cell r="C76">
            <v>8</v>
          </cell>
          <cell r="D76">
            <v>110</v>
          </cell>
        </row>
        <row r="77">
          <cell r="A77" t="str">
            <v>NARENDER</v>
          </cell>
          <cell r="B77">
            <v>2969</v>
          </cell>
          <cell r="C77">
            <v>502</v>
          </cell>
          <cell r="D77">
            <v>3471</v>
          </cell>
        </row>
        <row r="78">
          <cell r="A78" t="str">
            <v>Anumanna</v>
          </cell>
          <cell r="B78">
            <v>490</v>
          </cell>
          <cell r="C78">
            <v>92</v>
          </cell>
          <cell r="D78">
            <v>582</v>
          </cell>
        </row>
        <row r="79">
          <cell r="A79" t="str">
            <v>Kodumur</v>
          </cell>
          <cell r="B79">
            <v>67</v>
          </cell>
          <cell r="C79">
            <v>16</v>
          </cell>
          <cell r="D79">
            <v>83</v>
          </cell>
        </row>
        <row r="80">
          <cell r="A80" t="str">
            <v>Kosigi</v>
          </cell>
          <cell r="B80">
            <v>104</v>
          </cell>
          <cell r="C80">
            <v>10</v>
          </cell>
          <cell r="D80">
            <v>114</v>
          </cell>
        </row>
        <row r="81">
          <cell r="A81" t="str">
            <v>Kurnool (2W)</v>
          </cell>
          <cell r="B81">
            <v>92</v>
          </cell>
          <cell r="C81">
            <v>19</v>
          </cell>
          <cell r="D81">
            <v>111</v>
          </cell>
        </row>
        <row r="82">
          <cell r="A82" t="str">
            <v>Kurnool (Auto)</v>
          </cell>
          <cell r="B82">
            <v>97</v>
          </cell>
          <cell r="C82">
            <v>18</v>
          </cell>
          <cell r="D82">
            <v>115</v>
          </cell>
        </row>
        <row r="83">
          <cell r="A83" t="str">
            <v>Nandyal</v>
          </cell>
          <cell r="B83">
            <v>72</v>
          </cell>
          <cell r="C83">
            <v>17</v>
          </cell>
          <cell r="D83">
            <v>89</v>
          </cell>
        </row>
        <row r="84">
          <cell r="A84" t="str">
            <v>Yemmiganur</v>
          </cell>
          <cell r="B84">
            <v>58</v>
          </cell>
          <cell r="C84">
            <v>12</v>
          </cell>
          <cell r="D84">
            <v>70</v>
          </cell>
        </row>
        <row r="85">
          <cell r="A85" t="str">
            <v>Ashok</v>
          </cell>
          <cell r="B85">
            <v>501</v>
          </cell>
          <cell r="C85">
            <v>62</v>
          </cell>
          <cell r="D85">
            <v>563</v>
          </cell>
        </row>
        <row r="86">
          <cell r="A86" t="str">
            <v>Banswada</v>
          </cell>
          <cell r="B86">
            <v>171</v>
          </cell>
          <cell r="C86">
            <v>30</v>
          </cell>
          <cell r="D86">
            <v>201</v>
          </cell>
        </row>
        <row r="87">
          <cell r="A87" t="str">
            <v>Bodhan</v>
          </cell>
          <cell r="B87">
            <v>104</v>
          </cell>
          <cell r="C87">
            <v>14</v>
          </cell>
          <cell r="D87">
            <v>118</v>
          </cell>
        </row>
        <row r="88">
          <cell r="A88" t="str">
            <v>Nizamabad</v>
          </cell>
          <cell r="B88">
            <v>226</v>
          </cell>
          <cell r="C88">
            <v>18</v>
          </cell>
          <cell r="D88">
            <v>244</v>
          </cell>
        </row>
        <row r="89">
          <cell r="A89" t="str">
            <v>Gnanamuthyam</v>
          </cell>
          <cell r="B89">
            <v>341</v>
          </cell>
          <cell r="C89">
            <v>63</v>
          </cell>
          <cell r="D89">
            <v>404</v>
          </cell>
        </row>
        <row r="90">
          <cell r="A90" t="str">
            <v>Kothagudem (2W)</v>
          </cell>
          <cell r="B90">
            <v>82</v>
          </cell>
          <cell r="C90">
            <v>17</v>
          </cell>
          <cell r="D90">
            <v>99</v>
          </cell>
        </row>
        <row r="91">
          <cell r="A91" t="str">
            <v>Kothagudem (auto)</v>
          </cell>
          <cell r="B91">
            <v>85</v>
          </cell>
          <cell r="C91">
            <v>15</v>
          </cell>
          <cell r="D91">
            <v>100</v>
          </cell>
        </row>
        <row r="92">
          <cell r="A92" t="str">
            <v>Paloncha (2W)</v>
          </cell>
          <cell r="B92">
            <v>174</v>
          </cell>
          <cell r="C92">
            <v>31</v>
          </cell>
          <cell r="D92">
            <v>205</v>
          </cell>
        </row>
        <row r="93">
          <cell r="A93" t="str">
            <v>Hindupur_Direct</v>
          </cell>
          <cell r="B93">
            <v>225</v>
          </cell>
          <cell r="C93">
            <v>36</v>
          </cell>
          <cell r="D93">
            <v>261</v>
          </cell>
        </row>
        <row r="94">
          <cell r="A94" t="str">
            <v>Hindupuar (2W)</v>
          </cell>
          <cell r="B94">
            <v>225</v>
          </cell>
          <cell r="C94">
            <v>36</v>
          </cell>
          <cell r="D94">
            <v>261</v>
          </cell>
        </row>
        <row r="95">
          <cell r="A95" t="str">
            <v>Kulayapeera</v>
          </cell>
          <cell r="B95">
            <v>454</v>
          </cell>
          <cell r="C95">
            <v>66</v>
          </cell>
          <cell r="D95">
            <v>520</v>
          </cell>
        </row>
        <row r="96">
          <cell r="A96" t="str">
            <v>Ananthapur</v>
          </cell>
          <cell r="B96">
            <v>202</v>
          </cell>
          <cell r="C96">
            <v>36</v>
          </cell>
          <cell r="D96">
            <v>238</v>
          </cell>
        </row>
        <row r="97">
          <cell r="A97" t="str">
            <v>Gorantla</v>
          </cell>
          <cell r="B97">
            <v>149</v>
          </cell>
          <cell r="C97">
            <v>15</v>
          </cell>
          <cell r="D97">
            <v>164</v>
          </cell>
        </row>
        <row r="98">
          <cell r="A98" t="str">
            <v>Guntakal</v>
          </cell>
          <cell r="B98">
            <v>41</v>
          </cell>
          <cell r="C98">
            <v>6</v>
          </cell>
          <cell r="D98">
            <v>47</v>
          </cell>
        </row>
        <row r="99">
          <cell r="A99" t="str">
            <v>Uravakonda</v>
          </cell>
          <cell r="B99">
            <v>62</v>
          </cell>
          <cell r="C99">
            <v>9</v>
          </cell>
          <cell r="D99">
            <v>71</v>
          </cell>
        </row>
        <row r="100">
          <cell r="A100" t="str">
            <v>Veeranna</v>
          </cell>
          <cell r="B100">
            <v>540</v>
          </cell>
          <cell r="C100">
            <v>116</v>
          </cell>
          <cell r="D100">
            <v>656</v>
          </cell>
        </row>
        <row r="101">
          <cell r="A101" t="str">
            <v>Khammam</v>
          </cell>
          <cell r="B101">
            <v>82</v>
          </cell>
          <cell r="C101">
            <v>17</v>
          </cell>
          <cell r="D101">
            <v>99</v>
          </cell>
        </row>
        <row r="102">
          <cell r="A102" t="str">
            <v>Khammam (2W)</v>
          </cell>
          <cell r="B102">
            <v>156</v>
          </cell>
          <cell r="C102">
            <v>36</v>
          </cell>
          <cell r="D102">
            <v>192</v>
          </cell>
        </row>
        <row r="103">
          <cell r="A103" t="str">
            <v>Mahabubabad</v>
          </cell>
          <cell r="B103">
            <v>122</v>
          </cell>
          <cell r="C103">
            <v>22</v>
          </cell>
          <cell r="D103">
            <v>144</v>
          </cell>
        </row>
        <row r="104">
          <cell r="A104" t="str">
            <v>Sathupalli</v>
          </cell>
          <cell r="B104">
            <v>79</v>
          </cell>
          <cell r="C104">
            <v>18</v>
          </cell>
          <cell r="D104">
            <v>97</v>
          </cell>
        </row>
        <row r="105">
          <cell r="A105" t="str">
            <v>Suryapet</v>
          </cell>
          <cell r="B105">
            <v>101</v>
          </cell>
          <cell r="C105">
            <v>23</v>
          </cell>
          <cell r="D105">
            <v>124</v>
          </cell>
        </row>
        <row r="106">
          <cell r="A106" t="str">
            <v>Vijay_Kamareddy</v>
          </cell>
          <cell r="B106">
            <v>418</v>
          </cell>
          <cell r="C106">
            <v>67</v>
          </cell>
          <cell r="D106">
            <v>485</v>
          </cell>
        </row>
        <row r="107">
          <cell r="A107" t="str">
            <v>Armoor (2W)</v>
          </cell>
          <cell r="B107">
            <v>6</v>
          </cell>
          <cell r="D107">
            <v>6</v>
          </cell>
        </row>
        <row r="108">
          <cell r="A108" t="str">
            <v>Gandhari</v>
          </cell>
          <cell r="B108">
            <v>86</v>
          </cell>
          <cell r="C108">
            <v>18</v>
          </cell>
          <cell r="D108">
            <v>104</v>
          </cell>
        </row>
        <row r="109">
          <cell r="A109" t="str">
            <v>Kamareddy</v>
          </cell>
          <cell r="B109">
            <v>92</v>
          </cell>
          <cell r="C109">
            <v>15</v>
          </cell>
          <cell r="D109">
            <v>107</v>
          </cell>
        </row>
        <row r="110">
          <cell r="A110" t="str">
            <v>Toopran</v>
          </cell>
          <cell r="B110">
            <v>234</v>
          </cell>
          <cell r="C110">
            <v>34</v>
          </cell>
          <cell r="D110">
            <v>268</v>
          </cell>
        </row>
        <row r="111">
          <cell r="A111" t="str">
            <v>Priyanka</v>
          </cell>
          <cell r="B111">
            <v>907</v>
          </cell>
          <cell r="C111">
            <v>72</v>
          </cell>
          <cell r="D111">
            <v>979</v>
          </cell>
        </row>
        <row r="112">
          <cell r="A112" t="str">
            <v>Dadapeer</v>
          </cell>
          <cell r="B112">
            <v>401</v>
          </cell>
          <cell r="C112">
            <v>34</v>
          </cell>
          <cell r="D112">
            <v>435</v>
          </cell>
        </row>
        <row r="113">
          <cell r="A113" t="str">
            <v>Jammalamadugu</v>
          </cell>
          <cell r="B113">
            <v>121</v>
          </cell>
          <cell r="C113">
            <v>4</v>
          </cell>
          <cell r="D113">
            <v>125</v>
          </cell>
        </row>
        <row r="114">
          <cell r="A114" t="str">
            <v>Kadiri</v>
          </cell>
          <cell r="B114">
            <v>132</v>
          </cell>
          <cell r="C114">
            <v>19</v>
          </cell>
          <cell r="D114">
            <v>151</v>
          </cell>
        </row>
        <row r="115">
          <cell r="A115" t="str">
            <v>Proddatur (2W)</v>
          </cell>
          <cell r="B115">
            <v>74</v>
          </cell>
          <cell r="C115">
            <v>6</v>
          </cell>
          <cell r="D115">
            <v>80</v>
          </cell>
        </row>
        <row r="116">
          <cell r="A116" t="str">
            <v>Rayachoty (2W)</v>
          </cell>
          <cell r="B116">
            <v>74</v>
          </cell>
          <cell r="C116">
            <v>5</v>
          </cell>
          <cell r="D116">
            <v>79</v>
          </cell>
        </row>
        <row r="117">
          <cell r="A117" t="str">
            <v>Siva Prasad</v>
          </cell>
          <cell r="B117">
            <v>506</v>
          </cell>
          <cell r="C117">
            <v>38</v>
          </cell>
          <cell r="D117">
            <v>544</v>
          </cell>
        </row>
        <row r="118">
          <cell r="A118" t="str">
            <v>Badvel</v>
          </cell>
          <cell r="B118">
            <v>98</v>
          </cell>
          <cell r="C118">
            <v>18</v>
          </cell>
          <cell r="D118">
            <v>116</v>
          </cell>
        </row>
        <row r="119">
          <cell r="A119" t="str">
            <v>Kadapa</v>
          </cell>
          <cell r="B119">
            <v>137</v>
          </cell>
          <cell r="C119">
            <v>11</v>
          </cell>
          <cell r="D119">
            <v>148</v>
          </cell>
        </row>
        <row r="120">
          <cell r="A120" t="str">
            <v>Porumamilla (2W)</v>
          </cell>
          <cell r="B120">
            <v>78</v>
          </cell>
          <cell r="C120">
            <v>1</v>
          </cell>
          <cell r="D120">
            <v>79</v>
          </cell>
        </row>
        <row r="121">
          <cell r="A121" t="str">
            <v>Rajampet</v>
          </cell>
          <cell r="B121">
            <v>74</v>
          </cell>
          <cell r="C121">
            <v>5</v>
          </cell>
          <cell r="D121">
            <v>79</v>
          </cell>
        </row>
        <row r="122">
          <cell r="A122" t="str">
            <v>Vempalli</v>
          </cell>
          <cell r="B122">
            <v>119</v>
          </cell>
          <cell r="C122">
            <v>3</v>
          </cell>
          <cell r="D122">
            <v>122</v>
          </cell>
        </row>
        <row r="123">
          <cell r="A123" t="str">
            <v>Sai Rekha</v>
          </cell>
          <cell r="B123">
            <v>2839</v>
          </cell>
          <cell r="C123">
            <v>403</v>
          </cell>
          <cell r="D123">
            <v>3242</v>
          </cell>
        </row>
        <row r="124">
          <cell r="A124" t="str">
            <v>Amjed Ali</v>
          </cell>
          <cell r="B124">
            <v>456</v>
          </cell>
          <cell r="C124">
            <v>51</v>
          </cell>
          <cell r="D124">
            <v>507</v>
          </cell>
        </row>
        <row r="125">
          <cell r="A125" t="str">
            <v>Amangal</v>
          </cell>
          <cell r="B125">
            <v>225</v>
          </cell>
          <cell r="C125">
            <v>22</v>
          </cell>
          <cell r="D125">
            <v>247</v>
          </cell>
        </row>
        <row r="126">
          <cell r="A126" t="str">
            <v>Devarakonda(2W)</v>
          </cell>
          <cell r="B126">
            <v>110</v>
          </cell>
          <cell r="C126">
            <v>17</v>
          </cell>
          <cell r="D126">
            <v>127</v>
          </cell>
        </row>
        <row r="127">
          <cell r="A127" t="str">
            <v>Miryalaguda</v>
          </cell>
          <cell r="B127">
            <v>102</v>
          </cell>
          <cell r="C127">
            <v>11</v>
          </cell>
          <cell r="D127">
            <v>113</v>
          </cell>
        </row>
        <row r="128">
          <cell r="A128" t="str">
            <v>Tukkuguda</v>
          </cell>
          <cell r="B128">
            <v>19</v>
          </cell>
          <cell r="C128">
            <v>1</v>
          </cell>
          <cell r="D128">
            <v>20</v>
          </cell>
        </row>
        <row r="129">
          <cell r="A129" t="str">
            <v>Jamanna</v>
          </cell>
          <cell r="B129">
            <v>501</v>
          </cell>
          <cell r="C129">
            <v>61</v>
          </cell>
          <cell r="D129">
            <v>562</v>
          </cell>
        </row>
        <row r="130">
          <cell r="A130" t="str">
            <v>Alampur</v>
          </cell>
          <cell r="B130">
            <v>61</v>
          </cell>
          <cell r="C130">
            <v>10</v>
          </cell>
          <cell r="D130">
            <v>71</v>
          </cell>
        </row>
        <row r="131">
          <cell r="A131" t="str">
            <v>Gadwal</v>
          </cell>
          <cell r="B131">
            <v>136</v>
          </cell>
          <cell r="C131">
            <v>24</v>
          </cell>
          <cell r="D131">
            <v>160</v>
          </cell>
        </row>
        <row r="132">
          <cell r="A132" t="str">
            <v>Ieeza</v>
          </cell>
          <cell r="B132">
            <v>161</v>
          </cell>
          <cell r="C132">
            <v>13</v>
          </cell>
          <cell r="D132">
            <v>174</v>
          </cell>
        </row>
        <row r="133">
          <cell r="A133" t="str">
            <v>Shanthinagar</v>
          </cell>
          <cell r="B133">
            <v>93</v>
          </cell>
          <cell r="C133">
            <v>9</v>
          </cell>
          <cell r="D133">
            <v>102</v>
          </cell>
        </row>
        <row r="134">
          <cell r="A134" t="str">
            <v>Yerravalli</v>
          </cell>
          <cell r="B134">
            <v>50</v>
          </cell>
          <cell r="C134">
            <v>5</v>
          </cell>
          <cell r="D134">
            <v>55</v>
          </cell>
        </row>
        <row r="135">
          <cell r="A135" t="str">
            <v>NO TL ADILABAD</v>
          </cell>
          <cell r="B135">
            <v>112</v>
          </cell>
          <cell r="C135">
            <v>10</v>
          </cell>
          <cell r="D135">
            <v>122</v>
          </cell>
        </row>
        <row r="136">
          <cell r="A136" t="str">
            <v>Adilabad</v>
          </cell>
          <cell r="B136">
            <v>112</v>
          </cell>
          <cell r="C136">
            <v>10</v>
          </cell>
          <cell r="D136">
            <v>122</v>
          </cell>
        </row>
        <row r="137">
          <cell r="A137" t="str">
            <v>NO_ TL bhainsa</v>
          </cell>
          <cell r="B137">
            <v>200</v>
          </cell>
          <cell r="C137">
            <v>35</v>
          </cell>
          <cell r="D137">
            <v>235</v>
          </cell>
        </row>
        <row r="138">
          <cell r="A138" t="str">
            <v>Bhainsa</v>
          </cell>
          <cell r="B138">
            <v>200</v>
          </cell>
          <cell r="C138">
            <v>35</v>
          </cell>
          <cell r="D138">
            <v>235</v>
          </cell>
        </row>
        <row r="139">
          <cell r="A139" t="str">
            <v>Satish</v>
          </cell>
          <cell r="B139">
            <v>431</v>
          </cell>
          <cell r="C139">
            <v>57</v>
          </cell>
          <cell r="D139">
            <v>488</v>
          </cell>
        </row>
        <row r="140">
          <cell r="A140" t="str">
            <v>Bhongir</v>
          </cell>
          <cell r="B140">
            <v>233</v>
          </cell>
          <cell r="C140">
            <v>38</v>
          </cell>
          <cell r="D140">
            <v>271</v>
          </cell>
        </row>
        <row r="141">
          <cell r="A141" t="str">
            <v>Huzurnagar</v>
          </cell>
          <cell r="B141">
            <v>89</v>
          </cell>
          <cell r="C141">
            <v>7</v>
          </cell>
          <cell r="D141">
            <v>96</v>
          </cell>
        </row>
        <row r="142">
          <cell r="A142" t="str">
            <v>Nalgonda</v>
          </cell>
          <cell r="B142">
            <v>109</v>
          </cell>
          <cell r="C142">
            <v>12</v>
          </cell>
          <cell r="D142">
            <v>121</v>
          </cell>
        </row>
        <row r="143">
          <cell r="A143" t="str">
            <v>Shamshuddin</v>
          </cell>
          <cell r="B143">
            <v>466</v>
          </cell>
          <cell r="C143">
            <v>41</v>
          </cell>
          <cell r="D143">
            <v>507</v>
          </cell>
        </row>
        <row r="144">
          <cell r="A144" t="str">
            <v>Huzurabad</v>
          </cell>
          <cell r="B144">
            <v>71</v>
          </cell>
          <cell r="C144">
            <v>5</v>
          </cell>
          <cell r="D144">
            <v>76</v>
          </cell>
        </row>
        <row r="145">
          <cell r="A145" t="str">
            <v>Karimnagar</v>
          </cell>
          <cell r="B145">
            <v>160</v>
          </cell>
          <cell r="C145">
            <v>19</v>
          </cell>
          <cell r="D145">
            <v>179</v>
          </cell>
        </row>
        <row r="146">
          <cell r="A146" t="str">
            <v>Mancherial</v>
          </cell>
          <cell r="B146">
            <v>16</v>
          </cell>
          <cell r="C146">
            <v>1</v>
          </cell>
          <cell r="D146">
            <v>17</v>
          </cell>
        </row>
        <row r="147">
          <cell r="A147" t="str">
            <v>Peddapally</v>
          </cell>
          <cell r="B147">
            <v>91</v>
          </cell>
          <cell r="C147">
            <v>2</v>
          </cell>
          <cell r="D147">
            <v>93</v>
          </cell>
        </row>
        <row r="148">
          <cell r="A148" t="str">
            <v>Warangal</v>
          </cell>
          <cell r="B148">
            <v>128</v>
          </cell>
          <cell r="C148">
            <v>14</v>
          </cell>
          <cell r="D148">
            <v>142</v>
          </cell>
        </row>
        <row r="149">
          <cell r="A149" t="str">
            <v>Vijay-mbnr</v>
          </cell>
          <cell r="B149">
            <v>673</v>
          </cell>
          <cell r="C149">
            <v>148</v>
          </cell>
          <cell r="D149">
            <v>821</v>
          </cell>
        </row>
        <row r="150">
          <cell r="A150" t="str">
            <v>Kalwakurthi</v>
          </cell>
          <cell r="B150">
            <v>92</v>
          </cell>
          <cell r="C150">
            <v>14</v>
          </cell>
          <cell r="D150">
            <v>106</v>
          </cell>
        </row>
        <row r="151">
          <cell r="A151" t="str">
            <v>MahaboobNagar (Auto)</v>
          </cell>
          <cell r="B151">
            <v>280</v>
          </cell>
          <cell r="C151">
            <v>50</v>
          </cell>
          <cell r="D151">
            <v>330</v>
          </cell>
        </row>
        <row r="152">
          <cell r="A152" t="str">
            <v>Nagarkurnool (2W)</v>
          </cell>
          <cell r="B152">
            <v>111</v>
          </cell>
          <cell r="C152">
            <v>23</v>
          </cell>
          <cell r="D152">
            <v>134</v>
          </cell>
        </row>
        <row r="153">
          <cell r="A153" t="str">
            <v>Narayanpet</v>
          </cell>
          <cell r="B153">
            <v>190</v>
          </cell>
          <cell r="C153">
            <v>61</v>
          </cell>
          <cell r="D153">
            <v>251</v>
          </cell>
        </row>
        <row r="154">
          <cell r="A154" t="str">
            <v>Venkanna</v>
          </cell>
          <cell r="B154">
            <v>1354</v>
          </cell>
          <cell r="C154">
            <v>153</v>
          </cell>
          <cell r="D154">
            <v>1507</v>
          </cell>
        </row>
        <row r="155">
          <cell r="A155" t="str">
            <v>Abhilash</v>
          </cell>
          <cell r="B155">
            <v>728</v>
          </cell>
          <cell r="C155">
            <v>84</v>
          </cell>
          <cell r="D155">
            <v>812</v>
          </cell>
        </row>
        <row r="156">
          <cell r="A156" t="str">
            <v>Guntur</v>
          </cell>
          <cell r="B156">
            <v>196</v>
          </cell>
          <cell r="C156">
            <v>31</v>
          </cell>
          <cell r="D156">
            <v>227</v>
          </cell>
        </row>
        <row r="157">
          <cell r="A157" t="str">
            <v>Karempudi</v>
          </cell>
          <cell r="B157">
            <v>142</v>
          </cell>
          <cell r="C157">
            <v>16</v>
          </cell>
          <cell r="D157">
            <v>158</v>
          </cell>
        </row>
        <row r="158">
          <cell r="A158" t="str">
            <v>Mangalagiri (2W)</v>
          </cell>
          <cell r="B158">
            <v>98</v>
          </cell>
          <cell r="C158">
            <v>12</v>
          </cell>
          <cell r="D158">
            <v>110</v>
          </cell>
        </row>
        <row r="159">
          <cell r="A159" t="str">
            <v>Repalle</v>
          </cell>
          <cell r="B159">
            <v>101</v>
          </cell>
          <cell r="C159">
            <v>7</v>
          </cell>
          <cell r="D159">
            <v>108</v>
          </cell>
        </row>
        <row r="160">
          <cell r="A160" t="str">
            <v>Tenali</v>
          </cell>
          <cell r="B160">
            <v>191</v>
          </cell>
          <cell r="C160">
            <v>18</v>
          </cell>
          <cell r="D160">
            <v>209</v>
          </cell>
        </row>
        <row r="161">
          <cell r="A161" t="str">
            <v>Iliyaz - Karnataka</v>
          </cell>
          <cell r="B161">
            <v>626</v>
          </cell>
          <cell r="C161">
            <v>69</v>
          </cell>
          <cell r="D161">
            <v>695</v>
          </cell>
        </row>
        <row r="162">
          <cell r="A162" t="str">
            <v>Devadurga</v>
          </cell>
          <cell r="B162">
            <v>139</v>
          </cell>
          <cell r="C162">
            <v>24</v>
          </cell>
          <cell r="D162">
            <v>163</v>
          </cell>
        </row>
        <row r="163">
          <cell r="A163" t="str">
            <v>Hospet</v>
          </cell>
          <cell r="B163">
            <v>52</v>
          </cell>
          <cell r="C163">
            <v>1</v>
          </cell>
          <cell r="D163">
            <v>53</v>
          </cell>
        </row>
        <row r="164">
          <cell r="A164" t="str">
            <v>Manvi</v>
          </cell>
          <cell r="B164">
            <v>88</v>
          </cell>
          <cell r="C164">
            <v>6</v>
          </cell>
          <cell r="D164">
            <v>94</v>
          </cell>
        </row>
        <row r="165">
          <cell r="A165" t="str">
            <v>Maski</v>
          </cell>
          <cell r="B165">
            <v>180</v>
          </cell>
          <cell r="C165">
            <v>16</v>
          </cell>
          <cell r="D165">
            <v>196</v>
          </cell>
        </row>
        <row r="166">
          <cell r="A166" t="str">
            <v>Sindhanur</v>
          </cell>
          <cell r="B166">
            <v>125</v>
          </cell>
          <cell r="C166">
            <v>19</v>
          </cell>
          <cell r="D166">
            <v>144</v>
          </cell>
        </row>
        <row r="167">
          <cell r="A167" t="str">
            <v>Siriguppa (2W)</v>
          </cell>
          <cell r="B167">
            <v>28</v>
          </cell>
          <cell r="C167">
            <v>3</v>
          </cell>
          <cell r="D167">
            <v>31</v>
          </cell>
        </row>
        <row r="168">
          <cell r="A168" t="str">
            <v>Yadgir</v>
          </cell>
          <cell r="B168">
            <v>14</v>
          </cell>
          <cell r="D168">
            <v>14</v>
          </cell>
        </row>
        <row r="169">
          <cell r="A169" t="str">
            <v>Grand Total</v>
          </cell>
          <cell r="B169">
            <v>14085</v>
          </cell>
          <cell r="C169">
            <v>1867</v>
          </cell>
          <cell r="D169">
            <v>15952</v>
          </cell>
        </row>
      </sheetData>
      <sheetData sheetId="2">
        <row r="3">
          <cell r="A3" t="str">
            <v>Count of Loan Number</v>
          </cell>
          <cell r="B3" t="str">
            <v>Column Labels</v>
          </cell>
        </row>
        <row r="4">
          <cell r="B4" t="str">
            <v>TWO WHEELER</v>
          </cell>
          <cell r="D4" t="str">
            <v>TWO WHEELER Total</v>
          </cell>
          <cell r="E4" t="str">
            <v>Auto</v>
          </cell>
          <cell r="G4" t="str">
            <v>Auto Total</v>
          </cell>
        </row>
        <row r="5">
          <cell r="A5" t="str">
            <v>Row Labels</v>
          </cell>
          <cell r="B5" t="str">
            <v>Not Paid</v>
          </cell>
          <cell r="C5" t="str">
            <v>paid</v>
          </cell>
          <cell r="E5" t="str">
            <v>Not Paid</v>
          </cell>
          <cell r="F5" t="str">
            <v>paid</v>
          </cell>
        </row>
        <row r="6">
          <cell r="A6" t="str">
            <v>DIVYA</v>
          </cell>
          <cell r="B6">
            <v>1583</v>
          </cell>
          <cell r="C6">
            <v>156</v>
          </cell>
          <cell r="D6">
            <v>1739</v>
          </cell>
          <cell r="E6">
            <v>1344</v>
          </cell>
          <cell r="F6">
            <v>248</v>
          </cell>
          <cell r="G6">
            <v>1592</v>
          </cell>
        </row>
        <row r="7">
          <cell r="A7" t="str">
            <v>Balraju</v>
          </cell>
          <cell r="B7">
            <v>396</v>
          </cell>
          <cell r="C7">
            <v>47</v>
          </cell>
          <cell r="D7">
            <v>443</v>
          </cell>
          <cell r="E7">
            <v>219</v>
          </cell>
          <cell r="F7">
            <v>36</v>
          </cell>
          <cell r="G7">
            <v>255</v>
          </cell>
        </row>
        <row r="8">
          <cell r="A8" t="str">
            <v>Achampeta</v>
          </cell>
          <cell r="B8">
            <v>123</v>
          </cell>
          <cell r="C8">
            <v>13</v>
          </cell>
          <cell r="D8">
            <v>136</v>
          </cell>
          <cell r="E8">
            <v>12</v>
          </cell>
          <cell r="F8">
            <v>5</v>
          </cell>
          <cell r="G8">
            <v>17</v>
          </cell>
        </row>
        <row r="9">
          <cell r="A9" t="str">
            <v>Devarkadra (2W)</v>
          </cell>
          <cell r="B9">
            <v>75</v>
          </cell>
          <cell r="C9">
            <v>8</v>
          </cell>
          <cell r="D9">
            <v>83</v>
          </cell>
          <cell r="E9">
            <v>19</v>
          </cell>
          <cell r="F9">
            <v>6</v>
          </cell>
          <cell r="G9">
            <v>25</v>
          </cell>
        </row>
        <row r="10">
          <cell r="A10" t="str">
            <v>Kollapur</v>
          </cell>
          <cell r="B10">
            <v>62</v>
          </cell>
          <cell r="C10">
            <v>12</v>
          </cell>
          <cell r="D10">
            <v>74</v>
          </cell>
        </row>
        <row r="11">
          <cell r="A11" t="str">
            <v>Kothakota</v>
          </cell>
          <cell r="B11">
            <v>28</v>
          </cell>
          <cell r="C11">
            <v>2</v>
          </cell>
          <cell r="D11">
            <v>30</v>
          </cell>
          <cell r="E11">
            <v>30</v>
          </cell>
          <cell r="F11">
            <v>2</v>
          </cell>
          <cell r="G11">
            <v>32</v>
          </cell>
        </row>
        <row r="12">
          <cell r="A12" t="str">
            <v>MahaboobNagar</v>
          </cell>
          <cell r="B12">
            <v>33</v>
          </cell>
          <cell r="C12">
            <v>3</v>
          </cell>
          <cell r="D12">
            <v>36</v>
          </cell>
          <cell r="E12">
            <v>68</v>
          </cell>
          <cell r="F12">
            <v>12</v>
          </cell>
          <cell r="G12">
            <v>80</v>
          </cell>
        </row>
        <row r="13">
          <cell r="A13" t="str">
            <v>Makthal</v>
          </cell>
          <cell r="B13">
            <v>64</v>
          </cell>
          <cell r="C13">
            <v>8</v>
          </cell>
          <cell r="D13">
            <v>72</v>
          </cell>
          <cell r="E13">
            <v>5</v>
          </cell>
          <cell r="F13">
            <v>1</v>
          </cell>
          <cell r="G13">
            <v>6</v>
          </cell>
        </row>
        <row r="14">
          <cell r="A14" t="str">
            <v>Wanaparthy</v>
          </cell>
          <cell r="B14">
            <v>11</v>
          </cell>
          <cell r="C14">
            <v>1</v>
          </cell>
          <cell r="D14">
            <v>12</v>
          </cell>
          <cell r="E14">
            <v>85</v>
          </cell>
          <cell r="F14">
            <v>10</v>
          </cell>
          <cell r="G14">
            <v>95</v>
          </cell>
        </row>
        <row r="15">
          <cell r="A15" t="str">
            <v>ILYAZ</v>
          </cell>
          <cell r="B15">
            <v>286</v>
          </cell>
          <cell r="C15">
            <v>35</v>
          </cell>
          <cell r="D15">
            <v>321</v>
          </cell>
          <cell r="E15">
            <v>508</v>
          </cell>
          <cell r="F15">
            <v>104</v>
          </cell>
          <cell r="G15">
            <v>612</v>
          </cell>
        </row>
        <row r="16">
          <cell r="A16" t="str">
            <v>Kodangal (Auto)</v>
          </cell>
          <cell r="E16">
            <v>92</v>
          </cell>
          <cell r="F16">
            <v>13</v>
          </cell>
          <cell r="G16">
            <v>105</v>
          </cell>
        </row>
        <row r="17">
          <cell r="A17" t="str">
            <v>Kodangal(2W)</v>
          </cell>
          <cell r="B17">
            <v>107</v>
          </cell>
          <cell r="C17">
            <v>16</v>
          </cell>
          <cell r="D17">
            <v>123</v>
          </cell>
          <cell r="E17">
            <v>51</v>
          </cell>
          <cell r="F17">
            <v>19</v>
          </cell>
          <cell r="G17">
            <v>70</v>
          </cell>
        </row>
        <row r="18">
          <cell r="A18" t="str">
            <v>Kosgi</v>
          </cell>
          <cell r="B18">
            <v>82</v>
          </cell>
          <cell r="C18">
            <v>8</v>
          </cell>
          <cell r="D18">
            <v>90</v>
          </cell>
          <cell r="E18">
            <v>33</v>
          </cell>
          <cell r="F18">
            <v>7</v>
          </cell>
          <cell r="G18">
            <v>40</v>
          </cell>
        </row>
        <row r="19">
          <cell r="A19" t="str">
            <v>Kulakacharla</v>
          </cell>
          <cell r="B19">
            <v>60</v>
          </cell>
          <cell r="C19">
            <v>7</v>
          </cell>
          <cell r="D19">
            <v>67</v>
          </cell>
          <cell r="E19">
            <v>24</v>
          </cell>
          <cell r="F19">
            <v>3</v>
          </cell>
          <cell r="G19">
            <v>27</v>
          </cell>
        </row>
        <row r="20">
          <cell r="A20" t="str">
            <v>Kulakacherla (Auto)</v>
          </cell>
          <cell r="B20">
            <v>4</v>
          </cell>
          <cell r="D20">
            <v>4</v>
          </cell>
          <cell r="E20">
            <v>87</v>
          </cell>
          <cell r="F20">
            <v>26</v>
          </cell>
          <cell r="G20">
            <v>113</v>
          </cell>
        </row>
        <row r="21">
          <cell r="A21" t="str">
            <v>Parigi</v>
          </cell>
          <cell r="B21">
            <v>4</v>
          </cell>
          <cell r="C21">
            <v>1</v>
          </cell>
          <cell r="D21">
            <v>5</v>
          </cell>
          <cell r="E21">
            <v>91</v>
          </cell>
          <cell r="F21">
            <v>17</v>
          </cell>
          <cell r="G21">
            <v>108</v>
          </cell>
        </row>
        <row r="22">
          <cell r="A22" t="str">
            <v>Vikarabad</v>
          </cell>
          <cell r="B22">
            <v>27</v>
          </cell>
          <cell r="C22">
            <v>3</v>
          </cell>
          <cell r="D22">
            <v>30</v>
          </cell>
          <cell r="E22">
            <v>34</v>
          </cell>
          <cell r="F22">
            <v>10</v>
          </cell>
          <cell r="G22">
            <v>44</v>
          </cell>
        </row>
        <row r="23">
          <cell r="A23" t="str">
            <v>Zaheerabad - 1</v>
          </cell>
          <cell r="B23">
            <v>2</v>
          </cell>
          <cell r="D23">
            <v>2</v>
          </cell>
          <cell r="E23">
            <v>96</v>
          </cell>
          <cell r="F23">
            <v>9</v>
          </cell>
          <cell r="G23">
            <v>105</v>
          </cell>
        </row>
        <row r="24">
          <cell r="A24" t="str">
            <v>Krishnamurthy</v>
          </cell>
          <cell r="B24">
            <v>255</v>
          </cell>
          <cell r="C24">
            <v>18</v>
          </cell>
          <cell r="D24">
            <v>273</v>
          </cell>
          <cell r="E24">
            <v>327</v>
          </cell>
          <cell r="F24">
            <v>61</v>
          </cell>
          <cell r="G24">
            <v>388</v>
          </cell>
        </row>
        <row r="25">
          <cell r="A25" t="str">
            <v>Medak</v>
          </cell>
          <cell r="B25">
            <v>2</v>
          </cell>
          <cell r="D25">
            <v>2</v>
          </cell>
          <cell r="E25">
            <v>106</v>
          </cell>
          <cell r="F25">
            <v>17</v>
          </cell>
          <cell r="G25">
            <v>123</v>
          </cell>
        </row>
        <row r="26">
          <cell r="A26" t="str">
            <v>Narayankhed</v>
          </cell>
          <cell r="B26">
            <v>106</v>
          </cell>
          <cell r="C26">
            <v>10</v>
          </cell>
          <cell r="D26">
            <v>116</v>
          </cell>
          <cell r="E26">
            <v>45</v>
          </cell>
          <cell r="F26">
            <v>13</v>
          </cell>
          <cell r="G26">
            <v>58</v>
          </cell>
        </row>
        <row r="27">
          <cell r="A27" t="str">
            <v>Pitlam</v>
          </cell>
          <cell r="B27">
            <v>143</v>
          </cell>
          <cell r="C27">
            <v>7</v>
          </cell>
          <cell r="D27">
            <v>150</v>
          </cell>
        </row>
        <row r="28">
          <cell r="A28" t="str">
            <v>Sangareddy</v>
          </cell>
          <cell r="B28">
            <v>4</v>
          </cell>
          <cell r="C28">
            <v>1</v>
          </cell>
          <cell r="D28">
            <v>5</v>
          </cell>
          <cell r="E28">
            <v>61</v>
          </cell>
          <cell r="F28">
            <v>6</v>
          </cell>
          <cell r="G28">
            <v>67</v>
          </cell>
        </row>
        <row r="29">
          <cell r="A29" t="str">
            <v>Zaheerabad</v>
          </cell>
          <cell r="E29">
            <v>115</v>
          </cell>
          <cell r="F29">
            <v>25</v>
          </cell>
          <cell r="G29">
            <v>140</v>
          </cell>
        </row>
        <row r="30">
          <cell r="A30" t="str">
            <v>Murali</v>
          </cell>
          <cell r="B30">
            <v>450</v>
          </cell>
          <cell r="C30">
            <v>41</v>
          </cell>
          <cell r="D30">
            <v>491</v>
          </cell>
          <cell r="E30">
            <v>170</v>
          </cell>
          <cell r="F30">
            <v>28</v>
          </cell>
          <cell r="G30">
            <v>198</v>
          </cell>
        </row>
        <row r="31">
          <cell r="A31" t="str">
            <v>Chirala</v>
          </cell>
          <cell r="B31">
            <v>14</v>
          </cell>
          <cell r="D31">
            <v>14</v>
          </cell>
          <cell r="E31">
            <v>35</v>
          </cell>
          <cell r="F31">
            <v>9</v>
          </cell>
          <cell r="G31">
            <v>44</v>
          </cell>
        </row>
        <row r="32">
          <cell r="A32" t="str">
            <v>Cumbum (2W)</v>
          </cell>
          <cell r="B32">
            <v>17</v>
          </cell>
          <cell r="D32">
            <v>17</v>
          </cell>
        </row>
        <row r="33">
          <cell r="A33" t="str">
            <v>Giddalur</v>
          </cell>
          <cell r="B33">
            <v>110</v>
          </cell>
          <cell r="C33">
            <v>6</v>
          </cell>
          <cell r="D33">
            <v>116</v>
          </cell>
          <cell r="E33">
            <v>3</v>
          </cell>
          <cell r="F33">
            <v>1</v>
          </cell>
          <cell r="G33">
            <v>4</v>
          </cell>
        </row>
        <row r="34">
          <cell r="A34" t="str">
            <v>Kanigiri</v>
          </cell>
          <cell r="B34">
            <v>75</v>
          </cell>
          <cell r="C34">
            <v>9</v>
          </cell>
          <cell r="D34">
            <v>84</v>
          </cell>
        </row>
        <row r="35">
          <cell r="A35" t="str">
            <v>Markapur</v>
          </cell>
          <cell r="B35">
            <v>50</v>
          </cell>
          <cell r="C35">
            <v>6</v>
          </cell>
          <cell r="D35">
            <v>56</v>
          </cell>
          <cell r="E35">
            <v>33</v>
          </cell>
          <cell r="F35">
            <v>7</v>
          </cell>
          <cell r="G35">
            <v>40</v>
          </cell>
        </row>
        <row r="36">
          <cell r="A36" t="str">
            <v>Narasaraopeta (2W)</v>
          </cell>
          <cell r="B36">
            <v>36</v>
          </cell>
          <cell r="D36">
            <v>36</v>
          </cell>
          <cell r="E36">
            <v>69</v>
          </cell>
          <cell r="F36">
            <v>11</v>
          </cell>
          <cell r="G36">
            <v>80</v>
          </cell>
        </row>
        <row r="37">
          <cell r="A37" t="str">
            <v>Ongole</v>
          </cell>
          <cell r="B37">
            <v>36</v>
          </cell>
          <cell r="C37">
            <v>4</v>
          </cell>
          <cell r="D37">
            <v>40</v>
          </cell>
          <cell r="E37">
            <v>26</v>
          </cell>
          <cell r="G37">
            <v>26</v>
          </cell>
        </row>
        <row r="38">
          <cell r="A38" t="str">
            <v>Vinukonda (2W)</v>
          </cell>
          <cell r="B38">
            <v>47</v>
          </cell>
          <cell r="C38">
            <v>5</v>
          </cell>
          <cell r="D38">
            <v>52</v>
          </cell>
          <cell r="E38">
            <v>3</v>
          </cell>
          <cell r="G38">
            <v>3</v>
          </cell>
        </row>
        <row r="39">
          <cell r="A39" t="str">
            <v>Yerragondapalem</v>
          </cell>
          <cell r="B39">
            <v>65</v>
          </cell>
          <cell r="C39">
            <v>11</v>
          </cell>
          <cell r="D39">
            <v>76</v>
          </cell>
          <cell r="E39">
            <v>1</v>
          </cell>
          <cell r="G39">
            <v>1</v>
          </cell>
        </row>
        <row r="40">
          <cell r="A40" t="str">
            <v>NO -TL - WGL</v>
          </cell>
          <cell r="B40">
            <v>196</v>
          </cell>
          <cell r="C40">
            <v>15</v>
          </cell>
          <cell r="D40">
            <v>211</v>
          </cell>
          <cell r="E40">
            <v>120</v>
          </cell>
          <cell r="F40">
            <v>19</v>
          </cell>
          <cell r="G40">
            <v>139</v>
          </cell>
        </row>
        <row r="41">
          <cell r="A41" t="str">
            <v>Bhupalpally</v>
          </cell>
          <cell r="B41">
            <v>23</v>
          </cell>
          <cell r="C41">
            <v>3</v>
          </cell>
          <cell r="D41">
            <v>26</v>
          </cell>
          <cell r="E41">
            <v>42</v>
          </cell>
          <cell r="F41">
            <v>10</v>
          </cell>
          <cell r="G41">
            <v>52</v>
          </cell>
        </row>
        <row r="42">
          <cell r="A42" t="str">
            <v>Eturunagaram (2W)</v>
          </cell>
          <cell r="B42">
            <v>28</v>
          </cell>
          <cell r="C42">
            <v>2</v>
          </cell>
          <cell r="D42">
            <v>30</v>
          </cell>
          <cell r="E42">
            <v>1</v>
          </cell>
          <cell r="G42">
            <v>1</v>
          </cell>
        </row>
        <row r="43">
          <cell r="A43" t="str">
            <v>Mulugu</v>
          </cell>
          <cell r="B43">
            <v>86</v>
          </cell>
          <cell r="C43">
            <v>9</v>
          </cell>
          <cell r="D43">
            <v>95</v>
          </cell>
          <cell r="E43">
            <v>26</v>
          </cell>
          <cell r="F43">
            <v>1</v>
          </cell>
          <cell r="G43">
            <v>27</v>
          </cell>
        </row>
        <row r="44">
          <cell r="A44" t="str">
            <v>Siricilla</v>
          </cell>
          <cell r="B44">
            <v>59</v>
          </cell>
          <cell r="C44">
            <v>1</v>
          </cell>
          <cell r="D44">
            <v>60</v>
          </cell>
          <cell r="E44">
            <v>51</v>
          </cell>
          <cell r="F44">
            <v>8</v>
          </cell>
          <cell r="G44">
            <v>59</v>
          </cell>
        </row>
        <row r="45">
          <cell r="A45" t="str">
            <v>K.K</v>
          </cell>
          <cell r="B45">
            <v>42</v>
          </cell>
          <cell r="C45">
            <v>2</v>
          </cell>
          <cell r="D45">
            <v>44</v>
          </cell>
          <cell r="E45">
            <v>90</v>
          </cell>
          <cell r="F45">
            <v>9</v>
          </cell>
          <cell r="G45">
            <v>99</v>
          </cell>
        </row>
        <row r="46">
          <cell r="A46" t="str">
            <v>K.K</v>
          </cell>
          <cell r="B46">
            <v>42</v>
          </cell>
          <cell r="C46">
            <v>2</v>
          </cell>
          <cell r="D46">
            <v>44</v>
          </cell>
          <cell r="E46">
            <v>90</v>
          </cell>
          <cell r="F46">
            <v>9</v>
          </cell>
          <cell r="G46">
            <v>99</v>
          </cell>
        </row>
        <row r="47">
          <cell r="A47" t="str">
            <v>Attapur (Auto)</v>
          </cell>
          <cell r="B47">
            <v>2</v>
          </cell>
          <cell r="D47">
            <v>2</v>
          </cell>
          <cell r="E47">
            <v>52</v>
          </cell>
          <cell r="F47">
            <v>6</v>
          </cell>
          <cell r="G47">
            <v>58</v>
          </cell>
        </row>
        <row r="48">
          <cell r="A48" t="str">
            <v>Chintal (Auto)</v>
          </cell>
          <cell r="E48">
            <v>7</v>
          </cell>
          <cell r="F48">
            <v>1</v>
          </cell>
          <cell r="G48">
            <v>8</v>
          </cell>
        </row>
        <row r="49">
          <cell r="A49" t="str">
            <v>KingKoti (Cars)</v>
          </cell>
          <cell r="B49">
            <v>10</v>
          </cell>
          <cell r="D49">
            <v>10</v>
          </cell>
        </row>
        <row r="50">
          <cell r="A50" t="str">
            <v>LB Nagar</v>
          </cell>
          <cell r="B50">
            <v>30</v>
          </cell>
          <cell r="C50">
            <v>2</v>
          </cell>
          <cell r="D50">
            <v>32</v>
          </cell>
          <cell r="E50">
            <v>31</v>
          </cell>
          <cell r="F50">
            <v>2</v>
          </cell>
          <cell r="G50">
            <v>33</v>
          </cell>
        </row>
        <row r="51">
          <cell r="A51" t="str">
            <v>NAGESHWARRAO</v>
          </cell>
          <cell r="B51">
            <v>1747</v>
          </cell>
          <cell r="C51">
            <v>133</v>
          </cell>
          <cell r="D51">
            <v>1880</v>
          </cell>
          <cell r="E51">
            <v>1210</v>
          </cell>
          <cell r="F51">
            <v>189</v>
          </cell>
          <cell r="G51">
            <v>1399</v>
          </cell>
        </row>
        <row r="52">
          <cell r="A52" t="str">
            <v>PRAKASH</v>
          </cell>
          <cell r="B52">
            <v>249</v>
          </cell>
          <cell r="C52">
            <v>17</v>
          </cell>
          <cell r="D52">
            <v>266</v>
          </cell>
          <cell r="E52">
            <v>114</v>
          </cell>
          <cell r="F52">
            <v>19</v>
          </cell>
          <cell r="G52">
            <v>133</v>
          </cell>
        </row>
        <row r="53">
          <cell r="A53" t="str">
            <v>Kothuru</v>
          </cell>
          <cell r="B53">
            <v>119</v>
          </cell>
          <cell r="C53">
            <v>10</v>
          </cell>
          <cell r="D53">
            <v>129</v>
          </cell>
          <cell r="E53">
            <v>2</v>
          </cell>
          <cell r="G53">
            <v>2</v>
          </cell>
        </row>
        <row r="54">
          <cell r="A54" t="str">
            <v>Ranastalam</v>
          </cell>
          <cell r="B54">
            <v>67</v>
          </cell>
          <cell r="C54">
            <v>2</v>
          </cell>
          <cell r="D54">
            <v>69</v>
          </cell>
          <cell r="E54">
            <v>3</v>
          </cell>
          <cell r="G54">
            <v>3</v>
          </cell>
        </row>
        <row r="55">
          <cell r="A55" t="str">
            <v>Vizag</v>
          </cell>
          <cell r="B55">
            <v>63</v>
          </cell>
          <cell r="C55">
            <v>5</v>
          </cell>
          <cell r="D55">
            <v>68</v>
          </cell>
          <cell r="E55">
            <v>109</v>
          </cell>
          <cell r="F55">
            <v>19</v>
          </cell>
          <cell r="G55">
            <v>128</v>
          </cell>
        </row>
        <row r="56">
          <cell r="A56" t="str">
            <v>Raju</v>
          </cell>
          <cell r="B56">
            <v>569</v>
          </cell>
          <cell r="C56">
            <v>60</v>
          </cell>
          <cell r="D56">
            <v>629</v>
          </cell>
          <cell r="E56">
            <v>292</v>
          </cell>
          <cell r="F56">
            <v>46</v>
          </cell>
          <cell r="G56">
            <v>338</v>
          </cell>
        </row>
        <row r="57">
          <cell r="A57" t="str">
            <v>Bhimavaram</v>
          </cell>
          <cell r="B57">
            <v>47</v>
          </cell>
          <cell r="C57">
            <v>4</v>
          </cell>
          <cell r="D57">
            <v>51</v>
          </cell>
          <cell r="E57">
            <v>39</v>
          </cell>
          <cell r="F57">
            <v>6</v>
          </cell>
          <cell r="G57">
            <v>45</v>
          </cell>
        </row>
        <row r="58">
          <cell r="A58" t="str">
            <v>Gokavaram</v>
          </cell>
          <cell r="B58">
            <v>106</v>
          </cell>
          <cell r="C58">
            <v>9</v>
          </cell>
          <cell r="D58">
            <v>115</v>
          </cell>
          <cell r="E58">
            <v>24</v>
          </cell>
          <cell r="F58">
            <v>2</v>
          </cell>
          <cell r="G58">
            <v>26</v>
          </cell>
        </row>
        <row r="59">
          <cell r="A59" t="str">
            <v>Jangareddygudem</v>
          </cell>
          <cell r="B59">
            <v>63</v>
          </cell>
          <cell r="C59">
            <v>8</v>
          </cell>
          <cell r="D59">
            <v>71</v>
          </cell>
          <cell r="E59">
            <v>28</v>
          </cell>
          <cell r="F59">
            <v>1</v>
          </cell>
          <cell r="G59">
            <v>29</v>
          </cell>
        </row>
        <row r="60">
          <cell r="A60" t="str">
            <v>Kovvur</v>
          </cell>
          <cell r="B60">
            <v>67</v>
          </cell>
          <cell r="C60">
            <v>7</v>
          </cell>
          <cell r="D60">
            <v>74</v>
          </cell>
          <cell r="E60">
            <v>13</v>
          </cell>
          <cell r="F60">
            <v>3</v>
          </cell>
          <cell r="G60">
            <v>16</v>
          </cell>
        </row>
        <row r="61">
          <cell r="A61" t="str">
            <v>Mandapeta</v>
          </cell>
          <cell r="B61">
            <v>141</v>
          </cell>
          <cell r="C61">
            <v>14</v>
          </cell>
          <cell r="D61">
            <v>155</v>
          </cell>
          <cell r="E61">
            <v>29</v>
          </cell>
          <cell r="F61">
            <v>5</v>
          </cell>
          <cell r="G61">
            <v>34</v>
          </cell>
        </row>
        <row r="62">
          <cell r="A62" t="str">
            <v>Rajahmundry</v>
          </cell>
          <cell r="B62">
            <v>46</v>
          </cell>
          <cell r="C62">
            <v>8</v>
          </cell>
          <cell r="D62">
            <v>54</v>
          </cell>
          <cell r="E62">
            <v>153</v>
          </cell>
          <cell r="F62">
            <v>29</v>
          </cell>
          <cell r="G62">
            <v>182</v>
          </cell>
        </row>
        <row r="63">
          <cell r="A63" t="str">
            <v>Ravulapalem</v>
          </cell>
          <cell r="B63">
            <v>99</v>
          </cell>
          <cell r="C63">
            <v>10</v>
          </cell>
          <cell r="D63">
            <v>109</v>
          </cell>
          <cell r="E63">
            <v>6</v>
          </cell>
          <cell r="G63">
            <v>6</v>
          </cell>
        </row>
        <row r="64">
          <cell r="A64" t="str">
            <v>Satyanarayana</v>
          </cell>
          <cell r="B64">
            <v>320</v>
          </cell>
          <cell r="C64">
            <v>28</v>
          </cell>
          <cell r="D64">
            <v>348</v>
          </cell>
          <cell r="E64">
            <v>432</v>
          </cell>
          <cell r="F64">
            <v>80</v>
          </cell>
          <cell r="G64">
            <v>512</v>
          </cell>
        </row>
        <row r="65">
          <cell r="A65" t="str">
            <v>Amalapuram</v>
          </cell>
          <cell r="B65">
            <v>13</v>
          </cell>
          <cell r="D65">
            <v>13</v>
          </cell>
          <cell r="E65">
            <v>92</v>
          </cell>
          <cell r="F65">
            <v>16</v>
          </cell>
          <cell r="G65">
            <v>108</v>
          </cell>
        </row>
        <row r="66">
          <cell r="A66" t="str">
            <v>Jaggampeta</v>
          </cell>
          <cell r="B66">
            <v>77</v>
          </cell>
          <cell r="C66">
            <v>6</v>
          </cell>
          <cell r="D66">
            <v>83</v>
          </cell>
          <cell r="E66">
            <v>17</v>
          </cell>
          <cell r="F66">
            <v>3</v>
          </cell>
          <cell r="G66">
            <v>20</v>
          </cell>
        </row>
        <row r="67">
          <cell r="A67" t="str">
            <v>Kakinada</v>
          </cell>
          <cell r="B67">
            <v>34</v>
          </cell>
          <cell r="C67">
            <v>2</v>
          </cell>
          <cell r="D67">
            <v>36</v>
          </cell>
          <cell r="E67">
            <v>183</v>
          </cell>
          <cell r="F67">
            <v>38</v>
          </cell>
          <cell r="G67">
            <v>221</v>
          </cell>
        </row>
        <row r="68">
          <cell r="A68" t="str">
            <v>Peddapuram</v>
          </cell>
          <cell r="B68">
            <v>33</v>
          </cell>
          <cell r="C68">
            <v>4</v>
          </cell>
          <cell r="D68">
            <v>37</v>
          </cell>
          <cell r="E68">
            <v>52</v>
          </cell>
          <cell r="F68">
            <v>3</v>
          </cell>
          <cell r="G68">
            <v>55</v>
          </cell>
        </row>
        <row r="69">
          <cell r="A69" t="str">
            <v>Prathipadu</v>
          </cell>
          <cell r="B69">
            <v>128</v>
          </cell>
          <cell r="C69">
            <v>13</v>
          </cell>
          <cell r="D69">
            <v>141</v>
          </cell>
          <cell r="E69">
            <v>23</v>
          </cell>
          <cell r="F69">
            <v>6</v>
          </cell>
          <cell r="G69">
            <v>29</v>
          </cell>
        </row>
        <row r="70">
          <cell r="A70" t="str">
            <v>Tuni</v>
          </cell>
          <cell r="B70">
            <v>35</v>
          </cell>
          <cell r="C70">
            <v>3</v>
          </cell>
          <cell r="D70">
            <v>38</v>
          </cell>
          <cell r="E70">
            <v>65</v>
          </cell>
          <cell r="F70">
            <v>14</v>
          </cell>
          <cell r="G70">
            <v>79</v>
          </cell>
        </row>
        <row r="71">
          <cell r="A71" t="str">
            <v>TRINADH</v>
          </cell>
          <cell r="B71">
            <v>609</v>
          </cell>
          <cell r="C71">
            <v>28</v>
          </cell>
          <cell r="D71">
            <v>637</v>
          </cell>
          <cell r="E71">
            <v>372</v>
          </cell>
          <cell r="F71">
            <v>44</v>
          </cell>
          <cell r="G71">
            <v>416</v>
          </cell>
        </row>
        <row r="72">
          <cell r="A72" t="str">
            <v>Eluru</v>
          </cell>
          <cell r="B72">
            <v>270</v>
          </cell>
          <cell r="C72">
            <v>16</v>
          </cell>
          <cell r="D72">
            <v>286</v>
          </cell>
          <cell r="E72">
            <v>44</v>
          </cell>
          <cell r="F72">
            <v>5</v>
          </cell>
          <cell r="G72">
            <v>49</v>
          </cell>
        </row>
        <row r="73">
          <cell r="A73" t="str">
            <v>Gudivada (2W)</v>
          </cell>
          <cell r="B73">
            <v>44</v>
          </cell>
          <cell r="C73">
            <v>1</v>
          </cell>
          <cell r="D73">
            <v>45</v>
          </cell>
          <cell r="E73">
            <v>71</v>
          </cell>
          <cell r="F73">
            <v>4</v>
          </cell>
          <cell r="G73">
            <v>75</v>
          </cell>
        </row>
        <row r="74">
          <cell r="A74" t="str">
            <v>Machilipatnam</v>
          </cell>
          <cell r="B74">
            <v>122</v>
          </cell>
          <cell r="C74">
            <v>5</v>
          </cell>
          <cell r="D74">
            <v>127</v>
          </cell>
          <cell r="E74">
            <v>76</v>
          </cell>
          <cell r="F74">
            <v>10</v>
          </cell>
          <cell r="G74">
            <v>86</v>
          </cell>
        </row>
        <row r="75">
          <cell r="A75" t="str">
            <v>Nuzivid (2W)</v>
          </cell>
          <cell r="B75">
            <v>72</v>
          </cell>
          <cell r="C75">
            <v>2</v>
          </cell>
          <cell r="D75">
            <v>74</v>
          </cell>
          <cell r="E75">
            <v>75</v>
          </cell>
          <cell r="F75">
            <v>13</v>
          </cell>
          <cell r="G75">
            <v>88</v>
          </cell>
        </row>
        <row r="76">
          <cell r="A76" t="str">
            <v>Vijayawada</v>
          </cell>
          <cell r="B76">
            <v>67</v>
          </cell>
          <cell r="C76">
            <v>3</v>
          </cell>
          <cell r="D76">
            <v>70</v>
          </cell>
          <cell r="E76">
            <v>38</v>
          </cell>
          <cell r="F76">
            <v>5</v>
          </cell>
          <cell r="G76">
            <v>43</v>
          </cell>
        </row>
        <row r="77">
          <cell r="A77" t="str">
            <v>Vuyyuru</v>
          </cell>
          <cell r="B77">
            <v>34</v>
          </cell>
          <cell r="C77">
            <v>1</v>
          </cell>
          <cell r="D77">
            <v>35</v>
          </cell>
          <cell r="E77">
            <v>68</v>
          </cell>
          <cell r="F77">
            <v>7</v>
          </cell>
          <cell r="G77">
            <v>75</v>
          </cell>
        </row>
        <row r="78">
          <cell r="A78" t="str">
            <v>NARENDER</v>
          </cell>
          <cell r="B78">
            <v>1456</v>
          </cell>
          <cell r="C78">
            <v>176</v>
          </cell>
          <cell r="D78">
            <v>1632</v>
          </cell>
          <cell r="E78">
            <v>1513</v>
          </cell>
          <cell r="F78">
            <v>326</v>
          </cell>
          <cell r="G78">
            <v>1839</v>
          </cell>
        </row>
        <row r="79">
          <cell r="A79" t="str">
            <v>Anumanna</v>
          </cell>
          <cell r="B79">
            <v>248</v>
          </cell>
          <cell r="C79">
            <v>29</v>
          </cell>
          <cell r="D79">
            <v>277</v>
          </cell>
          <cell r="E79">
            <v>242</v>
          </cell>
          <cell r="F79">
            <v>63</v>
          </cell>
          <cell r="G79">
            <v>305</v>
          </cell>
        </row>
        <row r="80">
          <cell r="A80" t="str">
            <v>Kodumur</v>
          </cell>
          <cell r="B80">
            <v>57</v>
          </cell>
          <cell r="C80">
            <v>13</v>
          </cell>
          <cell r="D80">
            <v>70</v>
          </cell>
          <cell r="E80">
            <v>10</v>
          </cell>
          <cell r="F80">
            <v>3</v>
          </cell>
          <cell r="G80">
            <v>13</v>
          </cell>
        </row>
        <row r="81">
          <cell r="A81" t="str">
            <v>Kosigi</v>
          </cell>
          <cell r="B81">
            <v>99</v>
          </cell>
          <cell r="C81">
            <v>9</v>
          </cell>
          <cell r="D81">
            <v>108</v>
          </cell>
          <cell r="E81">
            <v>5</v>
          </cell>
          <cell r="F81">
            <v>1</v>
          </cell>
          <cell r="G81">
            <v>6</v>
          </cell>
        </row>
        <row r="82">
          <cell r="A82" t="str">
            <v>Kurnool (2W)</v>
          </cell>
          <cell r="B82">
            <v>33</v>
          </cell>
          <cell r="C82">
            <v>3</v>
          </cell>
          <cell r="D82">
            <v>36</v>
          </cell>
          <cell r="E82">
            <v>59</v>
          </cell>
          <cell r="F82">
            <v>16</v>
          </cell>
          <cell r="G82">
            <v>75</v>
          </cell>
        </row>
        <row r="83">
          <cell r="A83" t="str">
            <v>Kurnool (Auto)</v>
          </cell>
          <cell r="B83">
            <v>16</v>
          </cell>
          <cell r="D83">
            <v>16</v>
          </cell>
          <cell r="E83">
            <v>81</v>
          </cell>
          <cell r="F83">
            <v>18</v>
          </cell>
          <cell r="G83">
            <v>99</v>
          </cell>
        </row>
        <row r="84">
          <cell r="A84" t="str">
            <v>Nandyal</v>
          </cell>
          <cell r="B84">
            <v>15</v>
          </cell>
          <cell r="D84">
            <v>15</v>
          </cell>
          <cell r="E84">
            <v>57</v>
          </cell>
          <cell r="F84">
            <v>17</v>
          </cell>
          <cell r="G84">
            <v>74</v>
          </cell>
        </row>
        <row r="85">
          <cell r="A85" t="str">
            <v>Yemmiganur</v>
          </cell>
          <cell r="B85">
            <v>28</v>
          </cell>
          <cell r="C85">
            <v>4</v>
          </cell>
          <cell r="D85">
            <v>32</v>
          </cell>
          <cell r="E85">
            <v>30</v>
          </cell>
          <cell r="F85">
            <v>8</v>
          </cell>
          <cell r="G85">
            <v>38</v>
          </cell>
        </row>
        <row r="86">
          <cell r="A86" t="str">
            <v>Ashok</v>
          </cell>
          <cell r="B86">
            <v>411</v>
          </cell>
          <cell r="C86">
            <v>51</v>
          </cell>
          <cell r="D86">
            <v>462</v>
          </cell>
          <cell r="E86">
            <v>90</v>
          </cell>
          <cell r="F86">
            <v>11</v>
          </cell>
          <cell r="G86">
            <v>101</v>
          </cell>
        </row>
        <row r="87">
          <cell r="A87" t="str">
            <v>Banswada</v>
          </cell>
          <cell r="B87">
            <v>147</v>
          </cell>
          <cell r="C87">
            <v>25</v>
          </cell>
          <cell r="D87">
            <v>172</v>
          </cell>
          <cell r="E87">
            <v>24</v>
          </cell>
          <cell r="F87">
            <v>5</v>
          </cell>
          <cell r="G87">
            <v>29</v>
          </cell>
        </row>
        <row r="88">
          <cell r="A88" t="str">
            <v>Bodhan</v>
          </cell>
          <cell r="B88">
            <v>83</v>
          </cell>
          <cell r="C88">
            <v>11</v>
          </cell>
          <cell r="D88">
            <v>94</v>
          </cell>
          <cell r="E88">
            <v>21</v>
          </cell>
          <cell r="F88">
            <v>3</v>
          </cell>
          <cell r="G88">
            <v>24</v>
          </cell>
        </row>
        <row r="89">
          <cell r="A89" t="str">
            <v>Nizamabad</v>
          </cell>
          <cell r="B89">
            <v>181</v>
          </cell>
          <cell r="C89">
            <v>15</v>
          </cell>
          <cell r="D89">
            <v>196</v>
          </cell>
          <cell r="E89">
            <v>45</v>
          </cell>
          <cell r="F89">
            <v>3</v>
          </cell>
          <cell r="G89">
            <v>48</v>
          </cell>
        </row>
        <row r="90">
          <cell r="A90" t="str">
            <v>Gnanamuthyam</v>
          </cell>
          <cell r="B90">
            <v>49</v>
          </cell>
          <cell r="C90">
            <v>3</v>
          </cell>
          <cell r="D90">
            <v>52</v>
          </cell>
          <cell r="E90">
            <v>292</v>
          </cell>
          <cell r="F90">
            <v>60</v>
          </cell>
          <cell r="G90">
            <v>352</v>
          </cell>
        </row>
        <row r="91">
          <cell r="A91" t="str">
            <v>Kothagudem (2W)</v>
          </cell>
          <cell r="B91">
            <v>13</v>
          </cell>
          <cell r="C91">
            <v>2</v>
          </cell>
          <cell r="D91">
            <v>15</v>
          </cell>
          <cell r="E91">
            <v>69</v>
          </cell>
          <cell r="F91">
            <v>15</v>
          </cell>
          <cell r="G91">
            <v>84</v>
          </cell>
        </row>
        <row r="92">
          <cell r="A92" t="str">
            <v>Kothagudem (auto)</v>
          </cell>
          <cell r="B92">
            <v>1</v>
          </cell>
          <cell r="C92">
            <v>1</v>
          </cell>
          <cell r="D92">
            <v>2</v>
          </cell>
          <cell r="E92">
            <v>84</v>
          </cell>
          <cell r="F92">
            <v>14</v>
          </cell>
          <cell r="G92">
            <v>98</v>
          </cell>
        </row>
        <row r="93">
          <cell r="A93" t="str">
            <v>Paloncha (2W)</v>
          </cell>
          <cell r="B93">
            <v>35</v>
          </cell>
          <cell r="D93">
            <v>35</v>
          </cell>
          <cell r="E93">
            <v>139</v>
          </cell>
          <cell r="F93">
            <v>31</v>
          </cell>
          <cell r="G93">
            <v>170</v>
          </cell>
        </row>
        <row r="94">
          <cell r="A94" t="str">
            <v>Hindupur_Direct</v>
          </cell>
          <cell r="B94">
            <v>156</v>
          </cell>
          <cell r="C94">
            <v>24</v>
          </cell>
          <cell r="D94">
            <v>180</v>
          </cell>
          <cell r="E94">
            <v>69</v>
          </cell>
          <cell r="F94">
            <v>12</v>
          </cell>
          <cell r="G94">
            <v>81</v>
          </cell>
        </row>
        <row r="95">
          <cell r="A95" t="str">
            <v>Hindupuar (2W)</v>
          </cell>
          <cell r="B95">
            <v>156</v>
          </cell>
          <cell r="C95">
            <v>24</v>
          </cell>
          <cell r="D95">
            <v>180</v>
          </cell>
          <cell r="E95">
            <v>69</v>
          </cell>
          <cell r="F95">
            <v>12</v>
          </cell>
          <cell r="G95">
            <v>81</v>
          </cell>
        </row>
        <row r="96">
          <cell r="A96" t="str">
            <v>Kulayapeera</v>
          </cell>
          <cell r="B96">
            <v>270</v>
          </cell>
          <cell r="C96">
            <v>26</v>
          </cell>
          <cell r="D96">
            <v>296</v>
          </cell>
          <cell r="E96">
            <v>184</v>
          </cell>
          <cell r="F96">
            <v>40</v>
          </cell>
          <cell r="G96">
            <v>224</v>
          </cell>
        </row>
        <row r="97">
          <cell r="A97" t="str">
            <v>Ananthapur</v>
          </cell>
          <cell r="B97">
            <v>52</v>
          </cell>
          <cell r="C97">
            <v>2</v>
          </cell>
          <cell r="D97">
            <v>54</v>
          </cell>
          <cell r="E97">
            <v>150</v>
          </cell>
          <cell r="F97">
            <v>34</v>
          </cell>
          <cell r="G97">
            <v>184</v>
          </cell>
        </row>
        <row r="98">
          <cell r="A98" t="str">
            <v>Gorantla</v>
          </cell>
          <cell r="B98">
            <v>135</v>
          </cell>
          <cell r="C98">
            <v>15</v>
          </cell>
          <cell r="D98">
            <v>150</v>
          </cell>
          <cell r="E98">
            <v>14</v>
          </cell>
          <cell r="G98">
            <v>14</v>
          </cell>
        </row>
        <row r="99">
          <cell r="A99" t="str">
            <v>Guntakal</v>
          </cell>
          <cell r="B99">
            <v>23</v>
          </cell>
          <cell r="D99">
            <v>23</v>
          </cell>
          <cell r="E99">
            <v>18</v>
          </cell>
          <cell r="F99">
            <v>6</v>
          </cell>
          <cell r="G99">
            <v>24</v>
          </cell>
        </row>
        <row r="100">
          <cell r="A100" t="str">
            <v>Uravakonda</v>
          </cell>
          <cell r="B100">
            <v>60</v>
          </cell>
          <cell r="C100">
            <v>9</v>
          </cell>
          <cell r="D100">
            <v>69</v>
          </cell>
          <cell r="E100">
            <v>2</v>
          </cell>
          <cell r="G100">
            <v>2</v>
          </cell>
        </row>
        <row r="101">
          <cell r="A101" t="str">
            <v>Veeranna</v>
          </cell>
          <cell r="B101">
            <v>81</v>
          </cell>
          <cell r="C101">
            <v>4</v>
          </cell>
          <cell r="D101">
            <v>85</v>
          </cell>
          <cell r="E101">
            <v>459</v>
          </cell>
          <cell r="F101">
            <v>112</v>
          </cell>
          <cell r="G101">
            <v>571</v>
          </cell>
        </row>
        <row r="102">
          <cell r="A102" t="str">
            <v>Khammam</v>
          </cell>
          <cell r="B102">
            <v>1</v>
          </cell>
          <cell r="D102">
            <v>1</v>
          </cell>
          <cell r="E102">
            <v>81</v>
          </cell>
          <cell r="F102">
            <v>17</v>
          </cell>
          <cell r="G102">
            <v>98</v>
          </cell>
        </row>
        <row r="103">
          <cell r="A103" t="str">
            <v>Khammam (2W)</v>
          </cell>
          <cell r="B103">
            <v>19</v>
          </cell>
          <cell r="D103">
            <v>19</v>
          </cell>
          <cell r="E103">
            <v>137</v>
          </cell>
          <cell r="F103">
            <v>36</v>
          </cell>
          <cell r="G103">
            <v>173</v>
          </cell>
        </row>
        <row r="104">
          <cell r="A104" t="str">
            <v>Mahabubabad</v>
          </cell>
          <cell r="B104">
            <v>22</v>
          </cell>
          <cell r="D104">
            <v>22</v>
          </cell>
          <cell r="E104">
            <v>100</v>
          </cell>
          <cell r="F104">
            <v>22</v>
          </cell>
          <cell r="G104">
            <v>122</v>
          </cell>
        </row>
        <row r="105">
          <cell r="A105" t="str">
            <v>Sathupalli</v>
          </cell>
          <cell r="B105">
            <v>10</v>
          </cell>
          <cell r="C105">
            <v>1</v>
          </cell>
          <cell r="D105">
            <v>11</v>
          </cell>
          <cell r="E105">
            <v>69</v>
          </cell>
          <cell r="F105">
            <v>17</v>
          </cell>
          <cell r="G105">
            <v>86</v>
          </cell>
        </row>
        <row r="106">
          <cell r="A106" t="str">
            <v>Suryapet</v>
          </cell>
          <cell r="B106">
            <v>29</v>
          </cell>
          <cell r="C106">
            <v>3</v>
          </cell>
          <cell r="D106">
            <v>32</v>
          </cell>
          <cell r="E106">
            <v>72</v>
          </cell>
          <cell r="F106">
            <v>20</v>
          </cell>
          <cell r="G106">
            <v>92</v>
          </cell>
        </row>
        <row r="107">
          <cell r="A107" t="str">
            <v>Vijay_Kamareddy</v>
          </cell>
          <cell r="B107">
            <v>241</v>
          </cell>
          <cell r="C107">
            <v>39</v>
          </cell>
          <cell r="D107">
            <v>280</v>
          </cell>
          <cell r="E107">
            <v>177</v>
          </cell>
          <cell r="F107">
            <v>28</v>
          </cell>
          <cell r="G107">
            <v>205</v>
          </cell>
        </row>
        <row r="108">
          <cell r="A108" t="str">
            <v>Armoor (2W)</v>
          </cell>
          <cell r="B108">
            <v>5</v>
          </cell>
          <cell r="D108">
            <v>5</v>
          </cell>
          <cell r="E108">
            <v>1</v>
          </cell>
          <cell r="G108">
            <v>1</v>
          </cell>
        </row>
        <row r="109">
          <cell r="A109" t="str">
            <v>Gandhari</v>
          </cell>
          <cell r="B109">
            <v>85</v>
          </cell>
          <cell r="C109">
            <v>17</v>
          </cell>
          <cell r="D109">
            <v>102</v>
          </cell>
          <cell r="E109">
            <v>1</v>
          </cell>
          <cell r="F109">
            <v>1</v>
          </cell>
          <cell r="G109">
            <v>2</v>
          </cell>
        </row>
        <row r="110">
          <cell r="A110" t="str">
            <v>Kamareddy</v>
          </cell>
          <cell r="B110">
            <v>81</v>
          </cell>
          <cell r="C110">
            <v>15</v>
          </cell>
          <cell r="D110">
            <v>96</v>
          </cell>
          <cell r="E110">
            <v>11</v>
          </cell>
          <cell r="G110">
            <v>11</v>
          </cell>
        </row>
        <row r="111">
          <cell r="A111" t="str">
            <v>Toopran</v>
          </cell>
          <cell r="B111">
            <v>70</v>
          </cell>
          <cell r="C111">
            <v>7</v>
          </cell>
          <cell r="D111">
            <v>77</v>
          </cell>
          <cell r="E111">
            <v>164</v>
          </cell>
          <cell r="F111">
            <v>27</v>
          </cell>
          <cell r="G111">
            <v>191</v>
          </cell>
        </row>
        <row r="112">
          <cell r="A112" t="str">
            <v>Priyanka</v>
          </cell>
          <cell r="B112">
            <v>816</v>
          </cell>
          <cell r="C112">
            <v>54</v>
          </cell>
          <cell r="D112">
            <v>870</v>
          </cell>
          <cell r="E112">
            <v>91</v>
          </cell>
          <cell r="F112">
            <v>18</v>
          </cell>
          <cell r="G112">
            <v>109</v>
          </cell>
        </row>
        <row r="113">
          <cell r="A113" t="str">
            <v>Dadapeer</v>
          </cell>
          <cell r="B113">
            <v>349</v>
          </cell>
          <cell r="C113">
            <v>25</v>
          </cell>
          <cell r="D113">
            <v>374</v>
          </cell>
          <cell r="E113">
            <v>52</v>
          </cell>
          <cell r="F113">
            <v>9</v>
          </cell>
          <cell r="G113">
            <v>61</v>
          </cell>
        </row>
        <row r="114">
          <cell r="A114" t="str">
            <v>Jammalamadugu</v>
          </cell>
          <cell r="B114">
            <v>118</v>
          </cell>
          <cell r="C114">
            <v>4</v>
          </cell>
          <cell r="D114">
            <v>122</v>
          </cell>
          <cell r="E114">
            <v>3</v>
          </cell>
          <cell r="G114">
            <v>3</v>
          </cell>
        </row>
        <row r="115">
          <cell r="A115" t="str">
            <v>Kadiri</v>
          </cell>
          <cell r="B115">
            <v>118</v>
          </cell>
          <cell r="C115">
            <v>17</v>
          </cell>
          <cell r="D115">
            <v>135</v>
          </cell>
          <cell r="E115">
            <v>14</v>
          </cell>
          <cell r="F115">
            <v>2</v>
          </cell>
          <cell r="G115">
            <v>16</v>
          </cell>
        </row>
        <row r="116">
          <cell r="A116" t="str">
            <v>Proddatur (2W)</v>
          </cell>
          <cell r="B116">
            <v>51</v>
          </cell>
          <cell r="C116">
            <v>1</v>
          </cell>
          <cell r="D116">
            <v>52</v>
          </cell>
          <cell r="E116">
            <v>23</v>
          </cell>
          <cell r="F116">
            <v>5</v>
          </cell>
          <cell r="G116">
            <v>28</v>
          </cell>
        </row>
        <row r="117">
          <cell r="A117" t="str">
            <v>Rayachoty (2W)</v>
          </cell>
          <cell r="B117">
            <v>62</v>
          </cell>
          <cell r="C117">
            <v>3</v>
          </cell>
          <cell r="D117">
            <v>65</v>
          </cell>
          <cell r="E117">
            <v>12</v>
          </cell>
          <cell r="F117">
            <v>2</v>
          </cell>
          <cell r="G117">
            <v>14</v>
          </cell>
        </row>
        <row r="118">
          <cell r="A118" t="str">
            <v>Siva Prasad</v>
          </cell>
          <cell r="B118">
            <v>467</v>
          </cell>
          <cell r="C118">
            <v>29</v>
          </cell>
          <cell r="D118">
            <v>496</v>
          </cell>
          <cell r="E118">
            <v>39</v>
          </cell>
          <cell r="F118">
            <v>9</v>
          </cell>
          <cell r="G118">
            <v>48</v>
          </cell>
        </row>
        <row r="119">
          <cell r="A119" t="str">
            <v>Badvel</v>
          </cell>
          <cell r="B119">
            <v>89</v>
          </cell>
          <cell r="C119">
            <v>16</v>
          </cell>
          <cell r="D119">
            <v>105</v>
          </cell>
          <cell r="E119">
            <v>9</v>
          </cell>
          <cell r="F119">
            <v>2</v>
          </cell>
          <cell r="G119">
            <v>11</v>
          </cell>
        </row>
        <row r="120">
          <cell r="A120" t="str">
            <v>Kadapa</v>
          </cell>
          <cell r="B120">
            <v>116</v>
          </cell>
          <cell r="C120">
            <v>6</v>
          </cell>
          <cell r="D120">
            <v>122</v>
          </cell>
          <cell r="E120">
            <v>21</v>
          </cell>
          <cell r="F120">
            <v>5</v>
          </cell>
          <cell r="G120">
            <v>26</v>
          </cell>
        </row>
        <row r="121">
          <cell r="A121" t="str">
            <v>Porumamilla (2W)</v>
          </cell>
          <cell r="B121">
            <v>77</v>
          </cell>
          <cell r="C121">
            <v>1</v>
          </cell>
          <cell r="D121">
            <v>78</v>
          </cell>
          <cell r="E121">
            <v>1</v>
          </cell>
          <cell r="G121">
            <v>1</v>
          </cell>
        </row>
        <row r="122">
          <cell r="A122" t="str">
            <v>Rajampet</v>
          </cell>
          <cell r="B122">
            <v>68</v>
          </cell>
          <cell r="C122">
            <v>4</v>
          </cell>
          <cell r="D122">
            <v>72</v>
          </cell>
          <cell r="E122">
            <v>6</v>
          </cell>
          <cell r="F122">
            <v>1</v>
          </cell>
          <cell r="G122">
            <v>7</v>
          </cell>
        </row>
        <row r="123">
          <cell r="A123" t="str">
            <v>Vempalli</v>
          </cell>
          <cell r="B123">
            <v>117</v>
          </cell>
          <cell r="C123">
            <v>2</v>
          </cell>
          <cell r="D123">
            <v>119</v>
          </cell>
          <cell r="E123">
            <v>2</v>
          </cell>
          <cell r="F123">
            <v>1</v>
          </cell>
          <cell r="G123">
            <v>3</v>
          </cell>
        </row>
        <row r="124">
          <cell r="A124" t="str">
            <v>Sai Rekha</v>
          </cell>
          <cell r="B124">
            <v>1610</v>
          </cell>
          <cell r="C124">
            <v>147</v>
          </cell>
          <cell r="D124">
            <v>1757</v>
          </cell>
          <cell r="E124">
            <v>1229</v>
          </cell>
          <cell r="F124">
            <v>256</v>
          </cell>
          <cell r="G124">
            <v>1485</v>
          </cell>
        </row>
        <row r="125">
          <cell r="A125" t="str">
            <v>Amjed Ali</v>
          </cell>
          <cell r="B125">
            <v>434</v>
          </cell>
          <cell r="C125">
            <v>46</v>
          </cell>
          <cell r="D125">
            <v>480</v>
          </cell>
          <cell r="E125">
            <v>22</v>
          </cell>
          <cell r="F125">
            <v>5</v>
          </cell>
          <cell r="G125">
            <v>27</v>
          </cell>
        </row>
        <row r="126">
          <cell r="A126" t="str">
            <v>Amangal</v>
          </cell>
          <cell r="B126">
            <v>225</v>
          </cell>
          <cell r="C126">
            <v>22</v>
          </cell>
          <cell r="D126">
            <v>247</v>
          </cell>
        </row>
        <row r="127">
          <cell r="A127" t="str">
            <v>Devarakonda(2W)</v>
          </cell>
          <cell r="B127">
            <v>103</v>
          </cell>
          <cell r="C127">
            <v>17</v>
          </cell>
          <cell r="D127">
            <v>120</v>
          </cell>
          <cell r="E127">
            <v>7</v>
          </cell>
          <cell r="G127">
            <v>7</v>
          </cell>
        </row>
        <row r="128">
          <cell r="A128" t="str">
            <v>Miryalaguda</v>
          </cell>
          <cell r="B128">
            <v>87</v>
          </cell>
          <cell r="C128">
            <v>6</v>
          </cell>
          <cell r="D128">
            <v>93</v>
          </cell>
          <cell r="E128">
            <v>15</v>
          </cell>
          <cell r="F128">
            <v>5</v>
          </cell>
          <cell r="G128">
            <v>20</v>
          </cell>
        </row>
        <row r="129">
          <cell r="A129" t="str">
            <v>Tukkuguda</v>
          </cell>
          <cell r="B129">
            <v>19</v>
          </cell>
          <cell r="C129">
            <v>1</v>
          </cell>
          <cell r="D129">
            <v>20</v>
          </cell>
        </row>
        <row r="130">
          <cell r="A130" t="str">
            <v>Jamanna</v>
          </cell>
          <cell r="B130">
            <v>413</v>
          </cell>
          <cell r="C130">
            <v>36</v>
          </cell>
          <cell r="D130">
            <v>449</v>
          </cell>
          <cell r="E130">
            <v>88</v>
          </cell>
          <cell r="F130">
            <v>25</v>
          </cell>
          <cell r="G130">
            <v>113</v>
          </cell>
        </row>
        <row r="131">
          <cell r="A131" t="str">
            <v>Alampur</v>
          </cell>
          <cell r="B131">
            <v>52</v>
          </cell>
          <cell r="C131">
            <v>7</v>
          </cell>
          <cell r="D131">
            <v>59</v>
          </cell>
          <cell r="E131">
            <v>9</v>
          </cell>
          <cell r="F131">
            <v>3</v>
          </cell>
          <cell r="G131">
            <v>12</v>
          </cell>
        </row>
        <row r="132">
          <cell r="A132" t="str">
            <v>Gadwal</v>
          </cell>
          <cell r="B132">
            <v>73</v>
          </cell>
          <cell r="C132">
            <v>6</v>
          </cell>
          <cell r="D132">
            <v>79</v>
          </cell>
          <cell r="E132">
            <v>63</v>
          </cell>
          <cell r="F132">
            <v>18</v>
          </cell>
          <cell r="G132">
            <v>81</v>
          </cell>
        </row>
        <row r="133">
          <cell r="A133" t="str">
            <v>Ieeza</v>
          </cell>
          <cell r="B133">
            <v>155</v>
          </cell>
          <cell r="C133">
            <v>11</v>
          </cell>
          <cell r="D133">
            <v>166</v>
          </cell>
          <cell r="E133">
            <v>6</v>
          </cell>
          <cell r="F133">
            <v>2</v>
          </cell>
          <cell r="G133">
            <v>8</v>
          </cell>
        </row>
        <row r="134">
          <cell r="A134" t="str">
            <v>Shanthinagar</v>
          </cell>
          <cell r="B134">
            <v>92</v>
          </cell>
          <cell r="C134">
            <v>9</v>
          </cell>
          <cell r="D134">
            <v>101</v>
          </cell>
          <cell r="E134">
            <v>1</v>
          </cell>
          <cell r="G134">
            <v>1</v>
          </cell>
        </row>
        <row r="135">
          <cell r="A135" t="str">
            <v>Yerravalli</v>
          </cell>
          <cell r="B135">
            <v>41</v>
          </cell>
          <cell r="C135">
            <v>3</v>
          </cell>
          <cell r="D135">
            <v>44</v>
          </cell>
          <cell r="E135">
            <v>9</v>
          </cell>
          <cell r="F135">
            <v>2</v>
          </cell>
          <cell r="G135">
            <v>11</v>
          </cell>
        </row>
        <row r="136">
          <cell r="A136" t="str">
            <v>NO TL ADILABAD</v>
          </cell>
          <cell r="B136">
            <v>100</v>
          </cell>
          <cell r="C136">
            <v>7</v>
          </cell>
          <cell r="D136">
            <v>107</v>
          </cell>
          <cell r="E136">
            <v>12</v>
          </cell>
          <cell r="F136">
            <v>3</v>
          </cell>
          <cell r="G136">
            <v>15</v>
          </cell>
        </row>
        <row r="137">
          <cell r="A137" t="str">
            <v>Adilabad</v>
          </cell>
          <cell r="B137">
            <v>100</v>
          </cell>
          <cell r="C137">
            <v>7</v>
          </cell>
          <cell r="D137">
            <v>107</v>
          </cell>
          <cell r="E137">
            <v>12</v>
          </cell>
          <cell r="F137">
            <v>3</v>
          </cell>
          <cell r="G137">
            <v>15</v>
          </cell>
        </row>
        <row r="138">
          <cell r="A138" t="str">
            <v>NO_ TL bhainsa</v>
          </cell>
          <cell r="B138">
            <v>194</v>
          </cell>
          <cell r="C138">
            <v>32</v>
          </cell>
          <cell r="D138">
            <v>226</v>
          </cell>
          <cell r="E138">
            <v>6</v>
          </cell>
          <cell r="F138">
            <v>3</v>
          </cell>
          <cell r="G138">
            <v>9</v>
          </cell>
        </row>
        <row r="139">
          <cell r="A139" t="str">
            <v>Bhainsa</v>
          </cell>
          <cell r="B139">
            <v>194</v>
          </cell>
          <cell r="C139">
            <v>32</v>
          </cell>
          <cell r="D139">
            <v>226</v>
          </cell>
          <cell r="E139">
            <v>6</v>
          </cell>
          <cell r="F139">
            <v>3</v>
          </cell>
          <cell r="G139">
            <v>9</v>
          </cell>
        </row>
        <row r="140">
          <cell r="A140" t="str">
            <v>Satish</v>
          </cell>
          <cell r="B140">
            <v>130</v>
          </cell>
          <cell r="C140">
            <v>5</v>
          </cell>
          <cell r="D140">
            <v>135</v>
          </cell>
          <cell r="E140">
            <v>301</v>
          </cell>
          <cell r="F140">
            <v>52</v>
          </cell>
          <cell r="G140">
            <v>353</v>
          </cell>
        </row>
        <row r="141">
          <cell r="A141" t="str">
            <v>Bhongir</v>
          </cell>
          <cell r="B141">
            <v>18</v>
          </cell>
          <cell r="D141">
            <v>18</v>
          </cell>
          <cell r="E141">
            <v>215</v>
          </cell>
          <cell r="F141">
            <v>38</v>
          </cell>
          <cell r="G141">
            <v>253</v>
          </cell>
        </row>
        <row r="142">
          <cell r="A142" t="str">
            <v>Huzurnagar</v>
          </cell>
          <cell r="B142">
            <v>72</v>
          </cell>
          <cell r="C142">
            <v>4</v>
          </cell>
          <cell r="D142">
            <v>76</v>
          </cell>
          <cell r="E142">
            <v>17</v>
          </cell>
          <cell r="F142">
            <v>3</v>
          </cell>
          <cell r="G142">
            <v>20</v>
          </cell>
        </row>
        <row r="143">
          <cell r="A143" t="str">
            <v>Nalgonda</v>
          </cell>
          <cell r="B143">
            <v>40</v>
          </cell>
          <cell r="C143">
            <v>1</v>
          </cell>
          <cell r="D143">
            <v>41</v>
          </cell>
          <cell r="E143">
            <v>69</v>
          </cell>
          <cell r="F143">
            <v>11</v>
          </cell>
          <cell r="G143">
            <v>80</v>
          </cell>
        </row>
        <row r="144">
          <cell r="A144" t="str">
            <v>Shamshuddin</v>
          </cell>
          <cell r="B144">
            <v>205</v>
          </cell>
          <cell r="C144">
            <v>6</v>
          </cell>
          <cell r="D144">
            <v>211</v>
          </cell>
          <cell r="E144">
            <v>261</v>
          </cell>
          <cell r="F144">
            <v>35</v>
          </cell>
          <cell r="G144">
            <v>296</v>
          </cell>
        </row>
        <row r="145">
          <cell r="A145" t="str">
            <v>Huzurabad</v>
          </cell>
          <cell r="B145">
            <v>43</v>
          </cell>
          <cell r="C145">
            <v>2</v>
          </cell>
          <cell r="D145">
            <v>45</v>
          </cell>
          <cell r="E145">
            <v>28</v>
          </cell>
          <cell r="F145">
            <v>3</v>
          </cell>
          <cell r="G145">
            <v>31</v>
          </cell>
        </row>
        <row r="146">
          <cell r="A146" t="str">
            <v>Karimnagar</v>
          </cell>
          <cell r="B146">
            <v>46</v>
          </cell>
          <cell r="C146">
            <v>1</v>
          </cell>
          <cell r="D146">
            <v>47</v>
          </cell>
          <cell r="E146">
            <v>114</v>
          </cell>
          <cell r="F146">
            <v>18</v>
          </cell>
          <cell r="G146">
            <v>132</v>
          </cell>
        </row>
        <row r="147">
          <cell r="A147" t="str">
            <v>Mancherial</v>
          </cell>
          <cell r="B147">
            <v>12</v>
          </cell>
          <cell r="C147">
            <v>1</v>
          </cell>
          <cell r="D147">
            <v>13</v>
          </cell>
          <cell r="E147">
            <v>4</v>
          </cell>
          <cell r="G147">
            <v>4</v>
          </cell>
        </row>
        <row r="148">
          <cell r="A148" t="str">
            <v>Peddapally</v>
          </cell>
          <cell r="B148">
            <v>62</v>
          </cell>
          <cell r="D148">
            <v>62</v>
          </cell>
          <cell r="E148">
            <v>29</v>
          </cell>
          <cell r="F148">
            <v>2</v>
          </cell>
          <cell r="G148">
            <v>31</v>
          </cell>
        </row>
        <row r="149">
          <cell r="A149" t="str">
            <v>Warangal</v>
          </cell>
          <cell r="B149">
            <v>42</v>
          </cell>
          <cell r="C149">
            <v>2</v>
          </cell>
          <cell r="D149">
            <v>44</v>
          </cell>
          <cell r="E149">
            <v>86</v>
          </cell>
          <cell r="F149">
            <v>12</v>
          </cell>
          <cell r="G149">
            <v>98</v>
          </cell>
        </row>
        <row r="150">
          <cell r="A150" t="str">
            <v>Vijay-mbnr</v>
          </cell>
          <cell r="B150">
            <v>134</v>
          </cell>
          <cell r="C150">
            <v>15</v>
          </cell>
          <cell r="D150">
            <v>149</v>
          </cell>
          <cell r="E150">
            <v>539</v>
          </cell>
          <cell r="F150">
            <v>133</v>
          </cell>
          <cell r="G150">
            <v>672</v>
          </cell>
        </row>
        <row r="151">
          <cell r="A151" t="str">
            <v>Kalwakurthi</v>
          </cell>
          <cell r="B151">
            <v>58</v>
          </cell>
          <cell r="C151">
            <v>10</v>
          </cell>
          <cell r="D151">
            <v>68</v>
          </cell>
          <cell r="E151">
            <v>34</v>
          </cell>
          <cell r="F151">
            <v>4</v>
          </cell>
          <cell r="G151">
            <v>38</v>
          </cell>
        </row>
        <row r="152">
          <cell r="A152" t="str">
            <v>MahaboobNagar (Auto)</v>
          </cell>
          <cell r="B152">
            <v>10</v>
          </cell>
          <cell r="D152">
            <v>10</v>
          </cell>
          <cell r="E152">
            <v>270</v>
          </cell>
          <cell r="F152">
            <v>50</v>
          </cell>
          <cell r="G152">
            <v>320</v>
          </cell>
        </row>
        <row r="153">
          <cell r="A153" t="str">
            <v>Nagarkurnool (2W)</v>
          </cell>
          <cell r="B153">
            <v>30</v>
          </cell>
          <cell r="C153">
            <v>2</v>
          </cell>
          <cell r="D153">
            <v>32</v>
          </cell>
          <cell r="E153">
            <v>81</v>
          </cell>
          <cell r="F153">
            <v>21</v>
          </cell>
          <cell r="G153">
            <v>102</v>
          </cell>
        </row>
        <row r="154">
          <cell r="A154" t="str">
            <v>Narayanpet</v>
          </cell>
          <cell r="B154">
            <v>36</v>
          </cell>
          <cell r="C154">
            <v>3</v>
          </cell>
          <cell r="D154">
            <v>39</v>
          </cell>
          <cell r="E154">
            <v>154</v>
          </cell>
          <cell r="F154">
            <v>58</v>
          </cell>
          <cell r="G154">
            <v>212</v>
          </cell>
        </row>
        <row r="155">
          <cell r="A155" t="str">
            <v>Venkanna</v>
          </cell>
          <cell r="B155">
            <v>1029</v>
          </cell>
          <cell r="C155">
            <v>95</v>
          </cell>
          <cell r="D155">
            <v>1124</v>
          </cell>
          <cell r="E155">
            <v>325</v>
          </cell>
          <cell r="F155">
            <v>58</v>
          </cell>
          <cell r="G155">
            <v>383</v>
          </cell>
        </row>
        <row r="156">
          <cell r="A156" t="str">
            <v>Abhilash</v>
          </cell>
          <cell r="B156">
            <v>411</v>
          </cell>
          <cell r="C156">
            <v>28</v>
          </cell>
          <cell r="D156">
            <v>439</v>
          </cell>
          <cell r="E156">
            <v>317</v>
          </cell>
          <cell r="F156">
            <v>56</v>
          </cell>
          <cell r="G156">
            <v>373</v>
          </cell>
        </row>
        <row r="157">
          <cell r="A157" t="str">
            <v>Guntur</v>
          </cell>
          <cell r="B157">
            <v>48</v>
          </cell>
          <cell r="C157">
            <v>1</v>
          </cell>
          <cell r="D157">
            <v>49</v>
          </cell>
          <cell r="E157">
            <v>148</v>
          </cell>
          <cell r="F157">
            <v>30</v>
          </cell>
          <cell r="G157">
            <v>178</v>
          </cell>
        </row>
        <row r="158">
          <cell r="A158" t="str">
            <v>Karempudi</v>
          </cell>
          <cell r="B158">
            <v>76</v>
          </cell>
          <cell r="C158">
            <v>6</v>
          </cell>
          <cell r="D158">
            <v>82</v>
          </cell>
          <cell r="E158">
            <v>66</v>
          </cell>
          <cell r="F158">
            <v>10</v>
          </cell>
          <cell r="G158">
            <v>76</v>
          </cell>
        </row>
        <row r="159">
          <cell r="A159" t="str">
            <v>Mangalagiri (2W)</v>
          </cell>
          <cell r="B159">
            <v>43</v>
          </cell>
          <cell r="C159">
            <v>2</v>
          </cell>
          <cell r="D159">
            <v>45</v>
          </cell>
          <cell r="E159">
            <v>55</v>
          </cell>
          <cell r="F159">
            <v>10</v>
          </cell>
          <cell r="G159">
            <v>65</v>
          </cell>
        </row>
        <row r="160">
          <cell r="A160" t="str">
            <v>Repalle</v>
          </cell>
          <cell r="B160">
            <v>76</v>
          </cell>
          <cell r="C160">
            <v>4</v>
          </cell>
          <cell r="D160">
            <v>80</v>
          </cell>
          <cell r="E160">
            <v>25</v>
          </cell>
          <cell r="F160">
            <v>3</v>
          </cell>
          <cell r="G160">
            <v>28</v>
          </cell>
        </row>
        <row r="161">
          <cell r="A161" t="str">
            <v>Tenali</v>
          </cell>
          <cell r="B161">
            <v>168</v>
          </cell>
          <cell r="C161">
            <v>15</v>
          </cell>
          <cell r="D161">
            <v>183</v>
          </cell>
          <cell r="E161">
            <v>23</v>
          </cell>
          <cell r="F161">
            <v>3</v>
          </cell>
          <cell r="G161">
            <v>26</v>
          </cell>
        </row>
        <row r="162">
          <cell r="A162" t="str">
            <v>Iliyaz - Karnataka</v>
          </cell>
          <cell r="B162">
            <v>618</v>
          </cell>
          <cell r="C162">
            <v>67</v>
          </cell>
          <cell r="D162">
            <v>685</v>
          </cell>
          <cell r="E162">
            <v>8</v>
          </cell>
          <cell r="F162">
            <v>2</v>
          </cell>
          <cell r="G162">
            <v>10</v>
          </cell>
        </row>
        <row r="163">
          <cell r="A163" t="str">
            <v>Devadurga</v>
          </cell>
          <cell r="B163">
            <v>133</v>
          </cell>
          <cell r="C163">
            <v>24</v>
          </cell>
          <cell r="D163">
            <v>157</v>
          </cell>
          <cell r="E163">
            <v>6</v>
          </cell>
          <cell r="G163">
            <v>6</v>
          </cell>
        </row>
        <row r="164">
          <cell r="A164" t="str">
            <v>Hospet</v>
          </cell>
          <cell r="B164">
            <v>52</v>
          </cell>
          <cell r="C164">
            <v>1</v>
          </cell>
          <cell r="D164">
            <v>53</v>
          </cell>
        </row>
        <row r="165">
          <cell r="A165" t="str">
            <v>Manvi</v>
          </cell>
          <cell r="B165">
            <v>88</v>
          </cell>
          <cell r="C165">
            <v>6</v>
          </cell>
          <cell r="D165">
            <v>94</v>
          </cell>
        </row>
        <row r="166">
          <cell r="A166" t="str">
            <v>Maski</v>
          </cell>
          <cell r="B166">
            <v>179</v>
          </cell>
          <cell r="C166">
            <v>16</v>
          </cell>
          <cell r="D166">
            <v>195</v>
          </cell>
          <cell r="E166">
            <v>1</v>
          </cell>
          <cell r="G166">
            <v>1</v>
          </cell>
        </row>
        <row r="167">
          <cell r="A167" t="str">
            <v>Sindhanur</v>
          </cell>
          <cell r="B167">
            <v>124</v>
          </cell>
          <cell r="C167">
            <v>17</v>
          </cell>
          <cell r="D167">
            <v>141</v>
          </cell>
          <cell r="E167">
            <v>1</v>
          </cell>
          <cell r="F167">
            <v>2</v>
          </cell>
          <cell r="G167">
            <v>3</v>
          </cell>
        </row>
        <row r="168">
          <cell r="A168" t="str">
            <v>Siriguppa (2W)</v>
          </cell>
          <cell r="B168">
            <v>28</v>
          </cell>
          <cell r="C168">
            <v>3</v>
          </cell>
          <cell r="D168">
            <v>31</v>
          </cell>
        </row>
        <row r="169">
          <cell r="A169" t="str">
            <v>Yadgir</v>
          </cell>
          <cell r="B169">
            <v>14</v>
          </cell>
          <cell r="D169">
            <v>14</v>
          </cell>
        </row>
        <row r="170">
          <cell r="A170" t="str">
            <v>(blank)</v>
          </cell>
        </row>
        <row r="171">
          <cell r="A171" t="str">
            <v>(blank)</v>
          </cell>
        </row>
        <row r="172">
          <cell r="A172" t="str">
            <v>(blank)</v>
          </cell>
        </row>
        <row r="173">
          <cell r="A173" t="str">
            <v>Grand Total</v>
          </cell>
          <cell r="B173">
            <v>8283</v>
          </cell>
          <cell r="C173">
            <v>763</v>
          </cell>
          <cell r="D173">
            <v>9046</v>
          </cell>
          <cell r="E173">
            <v>5802</v>
          </cell>
          <cell r="F173">
            <v>1104</v>
          </cell>
          <cell r="G173">
            <v>6906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9"/>
  <sheetViews>
    <sheetView tabSelected="1" topLeftCell="A151" workbookViewId="0">
      <selection activeCell="A8" sqref="A8"/>
    </sheetView>
  </sheetViews>
  <sheetFormatPr defaultRowHeight="15.75" x14ac:dyDescent="0.25"/>
  <cols>
    <col min="1" max="1" width="19.7109375" style="41" bestFit="1" customWidth="1"/>
    <col min="2" max="2" width="10" style="41" bestFit="1" customWidth="1"/>
    <col min="3" max="3" width="5.28515625" style="41" customWidth="1"/>
    <col min="4" max="4" width="11.5703125" style="41" bestFit="1" customWidth="1"/>
    <col min="5" max="5" width="12.7109375" style="41" customWidth="1"/>
    <col min="6" max="6" width="8.42578125" style="41" bestFit="1" customWidth="1"/>
    <col min="7" max="7" width="7.28515625" style="41" bestFit="1" customWidth="1"/>
    <col min="8" max="8" width="7.140625" style="41" customWidth="1"/>
    <col min="9" max="9" width="6.42578125" style="42" customWidth="1"/>
    <col min="10" max="10" width="3" style="38" customWidth="1"/>
    <col min="11" max="11" width="7.28515625" style="41" bestFit="1" customWidth="1"/>
    <col min="12" max="12" width="6.42578125" style="41" customWidth="1"/>
    <col min="13" max="13" width="7" style="41" customWidth="1"/>
    <col min="14" max="14" width="6.28515625" style="42" customWidth="1"/>
    <col min="15" max="15" width="2.28515625" style="41" customWidth="1"/>
    <col min="16" max="16" width="10.7109375" style="41" customWidth="1"/>
    <col min="17" max="17" width="2.28515625" style="41" customWidth="1"/>
    <col min="18" max="18" width="6.28515625" style="41" customWidth="1"/>
    <col min="19" max="19" width="5.85546875" style="42" customWidth="1"/>
    <col min="20" max="20" width="6.28515625" style="42" hidden="1" customWidth="1"/>
    <col min="21" max="21" width="7.28515625" style="41" hidden="1" customWidth="1"/>
    <col min="22" max="22" width="2.28515625" style="41" customWidth="1"/>
    <col min="23" max="25" width="6.7109375" style="41" customWidth="1"/>
    <col min="26" max="26" width="9.140625" style="41" customWidth="1"/>
    <col min="27" max="27" width="1.85546875" style="41" customWidth="1"/>
    <col min="28" max="30" width="6.7109375" style="41" customWidth="1"/>
    <col min="31" max="31" width="9" style="41" customWidth="1"/>
  </cols>
  <sheetData>
    <row r="1" spans="1:31" x14ac:dyDescent="0.25">
      <c r="A1" s="32" t="s">
        <v>207</v>
      </c>
      <c r="B1" s="33"/>
      <c r="C1" s="32"/>
      <c r="D1" s="33"/>
      <c r="E1" s="34"/>
      <c r="F1" s="35"/>
      <c r="G1" s="36"/>
      <c r="H1" s="36"/>
      <c r="I1" s="37"/>
      <c r="K1" s="39" t="s">
        <v>206</v>
      </c>
      <c r="L1" s="40"/>
      <c r="N1" s="38"/>
    </row>
    <row r="2" spans="1:31" ht="63" x14ac:dyDescent="0.25">
      <c r="A2" s="43" t="s">
        <v>0</v>
      </c>
      <c r="B2" s="44" t="s">
        <v>1</v>
      </c>
      <c r="C2" s="45" t="s">
        <v>2</v>
      </c>
      <c r="D2" s="44"/>
      <c r="E2" s="44" t="s">
        <v>199</v>
      </c>
      <c r="F2" s="45" t="s">
        <v>3</v>
      </c>
      <c r="G2" s="43" t="s">
        <v>4</v>
      </c>
      <c r="H2" s="43" t="s">
        <v>5</v>
      </c>
      <c r="I2" s="46" t="s">
        <v>6</v>
      </c>
      <c r="K2" s="47" t="s">
        <v>205</v>
      </c>
      <c r="L2" s="48" t="s">
        <v>4</v>
      </c>
      <c r="M2" s="48" t="s">
        <v>5</v>
      </c>
      <c r="N2" s="49" t="s">
        <v>6</v>
      </c>
      <c r="P2" s="45" t="s">
        <v>209</v>
      </c>
      <c r="R2" s="49" t="s">
        <v>208</v>
      </c>
      <c r="S2" s="49" t="s">
        <v>194</v>
      </c>
      <c r="T2" s="49" t="s">
        <v>182</v>
      </c>
      <c r="U2" s="49" t="s">
        <v>181</v>
      </c>
      <c r="W2" s="50" t="s">
        <v>7</v>
      </c>
      <c r="X2" s="51" t="s">
        <v>4</v>
      </c>
      <c r="Y2" s="51" t="s">
        <v>5</v>
      </c>
      <c r="Z2" s="52" t="s">
        <v>6</v>
      </c>
      <c r="AB2" s="50" t="s">
        <v>8</v>
      </c>
      <c r="AC2" s="51" t="s">
        <v>4</v>
      </c>
      <c r="AD2" s="51" t="s">
        <v>5</v>
      </c>
      <c r="AE2" s="52" t="s">
        <v>6</v>
      </c>
    </row>
    <row r="3" spans="1:31" x14ac:dyDescent="0.25">
      <c r="A3" s="53" t="s">
        <v>9</v>
      </c>
      <c r="B3" s="53"/>
      <c r="C3" s="54">
        <f>C4+C10+C14+C19+C24+C28+C12</f>
        <v>31</v>
      </c>
      <c r="D3" s="53"/>
      <c r="E3" s="53"/>
      <c r="F3" s="54">
        <f>F4+F10+F14+F19+F24+F28+F12</f>
        <v>3242</v>
      </c>
      <c r="G3" s="54">
        <f>G4+G10+G14+G19+G24+G28+G12</f>
        <v>403</v>
      </c>
      <c r="H3" s="54">
        <f>H4+H10+H14+H19+H24+H28+H12</f>
        <v>2839</v>
      </c>
      <c r="I3" s="55">
        <f t="shared" ref="I3:I62" si="0">G3/F3</f>
        <v>0.1243059839605182</v>
      </c>
      <c r="K3" s="54">
        <f>K4+K10+K14+K19+K24+K28+K12</f>
        <v>389.04</v>
      </c>
      <c r="L3" s="54">
        <f>L4+L10+L14+L19+L24+L28+L12</f>
        <v>0</v>
      </c>
      <c r="M3" s="54">
        <f>M4+M10+M14+M19+M24+M28+M12</f>
        <v>389.04</v>
      </c>
      <c r="N3" s="46">
        <f t="shared" ref="N3:N66" si="1">L3/F3</f>
        <v>0</v>
      </c>
      <c r="P3" s="56">
        <v>0.154</v>
      </c>
      <c r="R3" s="57">
        <v>7.8038247995064786E-2</v>
      </c>
      <c r="S3" s="57">
        <v>2.5601480567550895E-2</v>
      </c>
      <c r="T3" s="57">
        <v>1.6964836520666254E-2</v>
      </c>
      <c r="U3" s="57">
        <v>3.7014188772362738E-3</v>
      </c>
      <c r="W3" s="54">
        <f>W4+W10+W14+W19+W24+W28+W12</f>
        <v>1757</v>
      </c>
      <c r="X3" s="54">
        <f>X4+X10+X14+X19+X24+X28+X12</f>
        <v>147</v>
      </c>
      <c r="Y3" s="54">
        <f>Y4+Y10+Y14+Y19+Y24+Y28+Y12</f>
        <v>1610</v>
      </c>
      <c r="Z3" s="46">
        <f>X3/W3</f>
        <v>8.3665338645418322E-2</v>
      </c>
      <c r="AB3" s="54">
        <f>AB4+AB10+AB14+AB19+AB24+AB28+AB12</f>
        <v>1485</v>
      </c>
      <c r="AC3" s="54">
        <f>AC4+AC10+AC14+AC19+AC24+AC28+AC12</f>
        <v>256</v>
      </c>
      <c r="AD3" s="54">
        <f>AD4+AD10+AD14+AD19+AD24+AD28+AD12</f>
        <v>1229</v>
      </c>
      <c r="AE3" s="46">
        <f>AC3/AB3</f>
        <v>0.1723905723905724</v>
      </c>
    </row>
    <row r="4" spans="1:31" x14ac:dyDescent="0.25">
      <c r="A4" s="58" t="s">
        <v>10</v>
      </c>
      <c r="B4" s="59"/>
      <c r="C4" s="60">
        <f>SUM(C5:C9)</f>
        <v>7</v>
      </c>
      <c r="D4" s="59"/>
      <c r="E4" s="59"/>
      <c r="F4" s="60">
        <f>SUM(F5:F9)</f>
        <v>562</v>
      </c>
      <c r="G4" s="60">
        <f>SUM(G5:G9)</f>
        <v>61</v>
      </c>
      <c r="H4" s="60">
        <f>SUM(H5:H9)</f>
        <v>501</v>
      </c>
      <c r="I4" s="55">
        <f t="shared" si="0"/>
        <v>0.10854092526690391</v>
      </c>
      <c r="K4" s="60">
        <f>SUM(K5:K9)</f>
        <v>67.44</v>
      </c>
      <c r="L4" s="60">
        <f>SUM(L5:L9)</f>
        <v>0</v>
      </c>
      <c r="M4" s="60">
        <f>SUM(M5:M9)</f>
        <v>67.44</v>
      </c>
      <c r="N4" s="46">
        <f t="shared" si="1"/>
        <v>0</v>
      </c>
      <c r="P4" s="56">
        <v>0.16736401673640167</v>
      </c>
      <c r="R4" s="57">
        <v>6.7615658362989328E-2</v>
      </c>
      <c r="S4" s="57">
        <v>2.6690391459074734E-2</v>
      </c>
      <c r="T4" s="57">
        <v>1.2455516014234875E-2</v>
      </c>
      <c r="U4" s="57">
        <v>1.7793594306049821E-3</v>
      </c>
      <c r="W4" s="60">
        <f>SUM(W5:W9)</f>
        <v>449</v>
      </c>
      <c r="X4" s="60">
        <f>SUM(X5:X9)</f>
        <v>36</v>
      </c>
      <c r="Y4" s="60">
        <f>SUM(Y5:Y9)</f>
        <v>413</v>
      </c>
      <c r="Z4" s="46">
        <f t="shared" ref="Z4:Z67" si="2">X4/W4</f>
        <v>8.0178173719376397E-2</v>
      </c>
      <c r="AB4" s="60">
        <f>SUM(AB5:AB9)</f>
        <v>113</v>
      </c>
      <c r="AC4" s="60">
        <f>SUM(AC5:AC9)</f>
        <v>25</v>
      </c>
      <c r="AD4" s="60">
        <f>SUM(AD5:AD9)</f>
        <v>88</v>
      </c>
      <c r="AE4" s="46">
        <f t="shared" ref="AE4:AE67" si="3">AC4/AB4</f>
        <v>0.22123893805309736</v>
      </c>
    </row>
    <row r="5" spans="1:31" x14ac:dyDescent="0.25">
      <c r="A5" s="61" t="s">
        <v>11</v>
      </c>
      <c r="B5" s="62"/>
      <c r="C5" s="63">
        <v>1</v>
      </c>
      <c r="D5" s="62"/>
      <c r="E5" s="62"/>
      <c r="F5" s="63">
        <f>VLOOKUP(A:A,[1]Sheet1!$A:$D,4,0)</f>
        <v>71</v>
      </c>
      <c r="G5" s="63">
        <f>VLOOKUP(A:A,[1]Sheet1!$A:$C,3,0)</f>
        <v>10</v>
      </c>
      <c r="H5" s="64">
        <f>F5-G5</f>
        <v>61</v>
      </c>
      <c r="I5" s="55">
        <f t="shared" si="0"/>
        <v>0.14084507042253522</v>
      </c>
      <c r="K5" s="65">
        <f>F5*12/100</f>
        <v>8.52</v>
      </c>
      <c r="L5" s="63"/>
      <c r="M5" s="64">
        <f t="shared" ref="M5:M67" si="4">K5-L5</f>
        <v>8.52</v>
      </c>
      <c r="N5" s="46">
        <f t="shared" si="1"/>
        <v>0</v>
      </c>
      <c r="P5" s="56">
        <v>0.2</v>
      </c>
      <c r="R5" s="57">
        <v>0.12676056338028169</v>
      </c>
      <c r="S5" s="57">
        <v>0</v>
      </c>
      <c r="T5" s="57">
        <v>1.4084507042253521E-2</v>
      </c>
      <c r="U5" s="57">
        <v>0</v>
      </c>
      <c r="W5" s="63">
        <f>VLOOKUP(A:A,'[1]2w &amp; 3w'!$A:$D,4,0)</f>
        <v>59</v>
      </c>
      <c r="X5" s="63">
        <f>VLOOKUP(A:A,'[1]2w &amp; 3w'!$A:$C,3,0)</f>
        <v>7</v>
      </c>
      <c r="Y5" s="63">
        <f t="shared" ref="Y5:Y65" si="5">W5-X5</f>
        <v>52</v>
      </c>
      <c r="Z5" s="46">
        <f t="shared" si="2"/>
        <v>0.11864406779661017</v>
      </c>
      <c r="AB5" s="63">
        <f>VLOOKUP(A:A,'[1]2w &amp; 3w'!$A:$G,7,0)</f>
        <v>12</v>
      </c>
      <c r="AC5" s="63">
        <f>VLOOKUP(A:A,'[1]2w &amp; 3w'!$A:$F,6,0)</f>
        <v>3</v>
      </c>
      <c r="AD5" s="63">
        <f t="shared" ref="AD5:AD65" si="6">AB5-AC5</f>
        <v>9</v>
      </c>
      <c r="AE5" s="46">
        <f t="shared" si="3"/>
        <v>0.25</v>
      </c>
    </row>
    <row r="6" spans="1:31" x14ac:dyDescent="0.25">
      <c r="A6" s="61" t="s">
        <v>12</v>
      </c>
      <c r="B6" s="62"/>
      <c r="C6" s="63">
        <v>2</v>
      </c>
      <c r="D6" s="62"/>
      <c r="E6" s="62"/>
      <c r="F6" s="63">
        <f>VLOOKUP(A:A,[1]Sheet1!$A:$D,4,0)</f>
        <v>160</v>
      </c>
      <c r="G6" s="63">
        <f>VLOOKUP(A:A,[1]Sheet1!$A:$C,3,0)</f>
        <v>24</v>
      </c>
      <c r="H6" s="64">
        <f t="shared" ref="H6:H9" si="7">F6-G6</f>
        <v>136</v>
      </c>
      <c r="I6" s="55">
        <f t="shared" si="0"/>
        <v>0.15</v>
      </c>
      <c r="K6" s="65">
        <f t="shared" ref="K6:K9" si="8">F6*12/100</f>
        <v>19.2</v>
      </c>
      <c r="L6" s="63"/>
      <c r="M6" s="64">
        <f>K6-L6</f>
        <v>19.2</v>
      </c>
      <c r="N6" s="46">
        <f t="shared" si="1"/>
        <v>0</v>
      </c>
      <c r="P6" s="56">
        <v>0.19897959183673469</v>
      </c>
      <c r="R6" s="57">
        <v>8.7499999999999994E-2</v>
      </c>
      <c r="S6" s="57">
        <v>3.7499999999999999E-2</v>
      </c>
      <c r="T6" s="57">
        <v>1.8750000000000003E-2</v>
      </c>
      <c r="U6" s="57">
        <v>6.2500000000000003E-3</v>
      </c>
      <c r="W6" s="63">
        <f>VLOOKUP(A:A,'[1]2w &amp; 3w'!$A:$D,4,0)</f>
        <v>79</v>
      </c>
      <c r="X6" s="63">
        <f>VLOOKUP(A:A,'[1]2w &amp; 3w'!$A:$C,3,0)</f>
        <v>6</v>
      </c>
      <c r="Y6" s="63">
        <f t="shared" si="5"/>
        <v>73</v>
      </c>
      <c r="Z6" s="46">
        <f t="shared" si="2"/>
        <v>7.5949367088607597E-2</v>
      </c>
      <c r="AB6" s="63">
        <f>VLOOKUP(A:A,'[1]2w &amp; 3w'!$A:$G,7,0)</f>
        <v>81</v>
      </c>
      <c r="AC6" s="63">
        <f>VLOOKUP(A:A,'[1]2w &amp; 3w'!$A:$F,6,0)</f>
        <v>18</v>
      </c>
      <c r="AD6" s="63">
        <f t="shared" si="6"/>
        <v>63</v>
      </c>
      <c r="AE6" s="46">
        <f t="shared" si="3"/>
        <v>0.22222222222222221</v>
      </c>
    </row>
    <row r="7" spans="1:31" x14ac:dyDescent="0.25">
      <c r="A7" s="61" t="s">
        <v>13</v>
      </c>
      <c r="B7" s="62"/>
      <c r="C7" s="63">
        <v>2</v>
      </c>
      <c r="D7" s="62"/>
      <c r="E7" s="62"/>
      <c r="F7" s="63">
        <f>VLOOKUP(A:A,[1]Sheet1!$A:$D,4,0)</f>
        <v>174</v>
      </c>
      <c r="G7" s="63">
        <f>VLOOKUP(A:A,[1]Sheet1!$A:$C,3,0)</f>
        <v>13</v>
      </c>
      <c r="H7" s="64">
        <f t="shared" si="7"/>
        <v>161</v>
      </c>
      <c r="I7" s="55">
        <f t="shared" si="0"/>
        <v>7.4712643678160925E-2</v>
      </c>
      <c r="K7" s="65">
        <f t="shared" si="8"/>
        <v>20.88</v>
      </c>
      <c r="L7" s="63"/>
      <c r="M7" s="64">
        <f t="shared" si="4"/>
        <v>20.88</v>
      </c>
      <c r="N7" s="46">
        <f t="shared" si="1"/>
        <v>0</v>
      </c>
      <c r="P7" s="56">
        <v>0.16444444444444445</v>
      </c>
      <c r="R7" s="57">
        <v>2.8735632183908053E-2</v>
      </c>
      <c r="S7" s="57">
        <v>4.0229885057471264E-2</v>
      </c>
      <c r="T7" s="57">
        <v>5.7471264367816091E-3</v>
      </c>
      <c r="U7" s="57">
        <v>0</v>
      </c>
      <c r="W7" s="63">
        <f>VLOOKUP(A:A,'[1]2w &amp; 3w'!$A:$D,4,0)</f>
        <v>166</v>
      </c>
      <c r="X7" s="63">
        <f>VLOOKUP(A:A,'[1]2w &amp; 3w'!$A:$C,3,0)</f>
        <v>11</v>
      </c>
      <c r="Y7" s="63">
        <f t="shared" si="5"/>
        <v>155</v>
      </c>
      <c r="Z7" s="46">
        <f t="shared" si="2"/>
        <v>6.6265060240963861E-2</v>
      </c>
      <c r="AB7" s="63">
        <f>VLOOKUP(A:A,'[1]2w &amp; 3w'!$A:$G,7,0)</f>
        <v>8</v>
      </c>
      <c r="AC7" s="63">
        <f>VLOOKUP(A:A,'[1]2w &amp; 3w'!$A:$F,6,0)</f>
        <v>2</v>
      </c>
      <c r="AD7" s="63">
        <f t="shared" si="6"/>
        <v>6</v>
      </c>
      <c r="AE7" s="46">
        <f t="shared" si="3"/>
        <v>0.25</v>
      </c>
    </row>
    <row r="8" spans="1:31" x14ac:dyDescent="0.25">
      <c r="A8" s="61" t="s">
        <v>14</v>
      </c>
      <c r="B8" s="62"/>
      <c r="C8" s="63">
        <v>1</v>
      </c>
      <c r="D8" s="62"/>
      <c r="E8" s="62"/>
      <c r="F8" s="63">
        <f>VLOOKUP(A:A,[1]Sheet1!$A:$D,4,0)</f>
        <v>102</v>
      </c>
      <c r="G8" s="63">
        <f>VLOOKUP(A:A,[1]Sheet1!$A:$C,3,0)</f>
        <v>9</v>
      </c>
      <c r="H8" s="64">
        <f t="shared" si="7"/>
        <v>93</v>
      </c>
      <c r="I8" s="55">
        <f t="shared" si="0"/>
        <v>8.8235294117647065E-2</v>
      </c>
      <c r="K8" s="65">
        <f t="shared" si="8"/>
        <v>12.24</v>
      </c>
      <c r="L8" s="63"/>
      <c r="M8" s="64">
        <f t="shared" si="4"/>
        <v>12.24</v>
      </c>
      <c r="N8" s="46">
        <f t="shared" si="1"/>
        <v>0</v>
      </c>
      <c r="P8" s="56">
        <v>0.12949640287769784</v>
      </c>
      <c r="R8" s="57">
        <v>7.8431372549019607E-2</v>
      </c>
      <c r="S8" s="57">
        <v>0</v>
      </c>
      <c r="T8" s="57">
        <v>9.8039215686274508E-3</v>
      </c>
      <c r="U8" s="57">
        <v>0</v>
      </c>
      <c r="W8" s="63">
        <f>VLOOKUP(A:A,'[1]2w &amp; 3w'!$A:$D,4,0)</f>
        <v>101</v>
      </c>
      <c r="X8" s="63">
        <f>VLOOKUP(A:A,'[1]2w &amp; 3w'!$A:$C,3,0)</f>
        <v>9</v>
      </c>
      <c r="Y8" s="63">
        <f t="shared" si="5"/>
        <v>92</v>
      </c>
      <c r="Z8" s="46">
        <f t="shared" si="2"/>
        <v>8.9108910891089105E-2</v>
      </c>
      <c r="AB8" s="63">
        <f>VLOOKUP(A:A,'[1]2w &amp; 3w'!$A:$G,7,0)</f>
        <v>1</v>
      </c>
      <c r="AC8" s="63">
        <f>VLOOKUP(A:A,'[1]2w &amp; 3w'!$A:$F,6,0)</f>
        <v>0</v>
      </c>
      <c r="AD8" s="63">
        <f t="shared" si="6"/>
        <v>1</v>
      </c>
      <c r="AE8" s="46">
        <f t="shared" si="3"/>
        <v>0</v>
      </c>
    </row>
    <row r="9" spans="1:31" x14ac:dyDescent="0.25">
      <c r="A9" s="61" t="s">
        <v>15</v>
      </c>
      <c r="B9" s="62"/>
      <c r="C9" s="63">
        <v>1</v>
      </c>
      <c r="D9" s="62"/>
      <c r="E9" s="62"/>
      <c r="F9" s="63">
        <f>VLOOKUP(A:A,[1]Sheet1!$A:$D,4,0)</f>
        <v>55</v>
      </c>
      <c r="G9" s="63">
        <f>VLOOKUP(A:A,[1]Sheet1!$A:$C,3,0)</f>
        <v>5</v>
      </c>
      <c r="H9" s="64">
        <f t="shared" si="7"/>
        <v>50</v>
      </c>
      <c r="I9" s="55">
        <f t="shared" si="0"/>
        <v>9.0909090909090912E-2</v>
      </c>
      <c r="K9" s="65">
        <f t="shared" si="8"/>
        <v>6.6</v>
      </c>
      <c r="L9" s="63"/>
      <c r="M9" s="64">
        <f t="shared" si="4"/>
        <v>6.6</v>
      </c>
      <c r="N9" s="46">
        <f t="shared" si="1"/>
        <v>0</v>
      </c>
      <c r="P9" s="56">
        <v>0.12987012987012986</v>
      </c>
      <c r="R9" s="57">
        <v>3.6363636363636369E-2</v>
      </c>
      <c r="S9" s="57">
        <v>3.6363636363636362E-2</v>
      </c>
      <c r="T9" s="57">
        <v>1.8181818181818181E-2</v>
      </c>
      <c r="U9" s="57">
        <v>0</v>
      </c>
      <c r="W9" s="63">
        <f>VLOOKUP(A:A,'[1]2w &amp; 3w'!$A:$D,4,0)</f>
        <v>44</v>
      </c>
      <c r="X9" s="63">
        <f>VLOOKUP(A:A,'[1]2w &amp; 3w'!$A:$C,3,0)</f>
        <v>3</v>
      </c>
      <c r="Y9" s="63">
        <f t="shared" si="5"/>
        <v>41</v>
      </c>
      <c r="Z9" s="46">
        <f t="shared" si="2"/>
        <v>6.8181818181818177E-2</v>
      </c>
      <c r="AB9" s="63">
        <f>VLOOKUP(A:A,'[1]2w &amp; 3w'!$A:$G,7,0)</f>
        <v>11</v>
      </c>
      <c r="AC9" s="63">
        <f>VLOOKUP(A:A,'[1]2w &amp; 3w'!$A:$F,6,0)</f>
        <v>2</v>
      </c>
      <c r="AD9" s="63">
        <f t="shared" si="6"/>
        <v>9</v>
      </c>
      <c r="AE9" s="46">
        <f t="shared" si="3"/>
        <v>0.18181818181818182</v>
      </c>
    </row>
    <row r="10" spans="1:31" x14ac:dyDescent="0.25">
      <c r="A10" s="58" t="s">
        <v>16</v>
      </c>
      <c r="B10" s="59"/>
      <c r="C10" s="66">
        <f>C11</f>
        <v>2</v>
      </c>
      <c r="D10" s="59"/>
      <c r="E10" s="59"/>
      <c r="F10" s="60">
        <f t="shared" ref="F10:H10" si="9">F11</f>
        <v>235</v>
      </c>
      <c r="G10" s="60">
        <f t="shared" si="9"/>
        <v>35</v>
      </c>
      <c r="H10" s="60">
        <f t="shared" si="9"/>
        <v>200</v>
      </c>
      <c r="I10" s="55">
        <f t="shared" si="0"/>
        <v>0.14893617021276595</v>
      </c>
      <c r="K10" s="60">
        <f t="shared" ref="K10:M10" si="10">K11</f>
        <v>28.2</v>
      </c>
      <c r="L10" s="60">
        <f t="shared" si="10"/>
        <v>0</v>
      </c>
      <c r="M10" s="60">
        <f t="shared" si="10"/>
        <v>28.2</v>
      </c>
      <c r="N10" s="46">
        <f t="shared" si="1"/>
        <v>0</v>
      </c>
      <c r="P10" s="56">
        <v>0.13253012048192772</v>
      </c>
      <c r="R10" s="57">
        <v>5.9574468085106372E-2</v>
      </c>
      <c r="S10" s="57">
        <v>4.2553191489361708E-2</v>
      </c>
      <c r="T10" s="57">
        <v>3.8297872340425532E-2</v>
      </c>
      <c r="U10" s="57">
        <v>8.5106382978723406E-3</v>
      </c>
      <c r="W10" s="60">
        <f t="shared" ref="W10:Y10" si="11">W11</f>
        <v>226</v>
      </c>
      <c r="X10" s="60">
        <f t="shared" si="11"/>
        <v>32</v>
      </c>
      <c r="Y10" s="60">
        <f t="shared" si="11"/>
        <v>194</v>
      </c>
      <c r="Z10" s="46">
        <f t="shared" si="2"/>
        <v>0.1415929203539823</v>
      </c>
      <c r="AB10" s="60">
        <f t="shared" ref="AB10:AD10" si="12">AB11</f>
        <v>9</v>
      </c>
      <c r="AC10" s="60">
        <f t="shared" si="12"/>
        <v>3</v>
      </c>
      <c r="AD10" s="60">
        <f t="shared" si="12"/>
        <v>6</v>
      </c>
      <c r="AE10" s="46">
        <f t="shared" si="3"/>
        <v>0.33333333333333331</v>
      </c>
    </row>
    <row r="11" spans="1:31" x14ac:dyDescent="0.25">
      <c r="A11" s="61" t="s">
        <v>17</v>
      </c>
      <c r="B11" s="62"/>
      <c r="C11" s="63">
        <v>2</v>
      </c>
      <c r="D11" s="62"/>
      <c r="E11" s="62"/>
      <c r="F11" s="63">
        <f>VLOOKUP(A:A,[1]Sheet1!$A:$D,4,0)</f>
        <v>235</v>
      </c>
      <c r="G11" s="63">
        <f>VLOOKUP(A:A,[1]Sheet1!$A:$C,3,0)</f>
        <v>35</v>
      </c>
      <c r="H11" s="64">
        <f t="shared" ref="H11:H13" si="13">F11-G11</f>
        <v>200</v>
      </c>
      <c r="I11" s="55">
        <f t="shared" si="0"/>
        <v>0.14893617021276595</v>
      </c>
      <c r="K11" s="65">
        <f>F11*12/100</f>
        <v>28.2</v>
      </c>
      <c r="L11" s="63"/>
      <c r="M11" s="64">
        <f t="shared" si="4"/>
        <v>28.2</v>
      </c>
      <c r="N11" s="46">
        <f t="shared" si="1"/>
        <v>0</v>
      </c>
      <c r="P11" s="56">
        <v>0.13253012048192772</v>
      </c>
      <c r="R11" s="57">
        <v>5.9574468085106372E-2</v>
      </c>
      <c r="S11" s="57">
        <v>4.2553191489361708E-2</v>
      </c>
      <c r="T11" s="57">
        <v>3.8297872340425532E-2</v>
      </c>
      <c r="U11" s="57">
        <v>8.5106382978723406E-3</v>
      </c>
      <c r="W11" s="63">
        <f>VLOOKUP(A:A,'[1]2w &amp; 3w'!$A:$D,4,0)</f>
        <v>226</v>
      </c>
      <c r="X11" s="63">
        <f>VLOOKUP(A:A,'[1]2w &amp; 3w'!$A:$C,3,0)</f>
        <v>32</v>
      </c>
      <c r="Y11" s="63">
        <f t="shared" si="5"/>
        <v>194</v>
      </c>
      <c r="Z11" s="46">
        <f t="shared" si="2"/>
        <v>0.1415929203539823</v>
      </c>
      <c r="AB11" s="63">
        <f>VLOOKUP(A:A,'[1]2w &amp; 3w'!$A:$G,7,0)</f>
        <v>9</v>
      </c>
      <c r="AC11" s="63">
        <f>VLOOKUP(A:A,'[1]2w &amp; 3w'!$A:$F,6,0)</f>
        <v>3</v>
      </c>
      <c r="AD11" s="63">
        <f t="shared" si="6"/>
        <v>6</v>
      </c>
      <c r="AE11" s="46">
        <f t="shared" si="3"/>
        <v>0.33333333333333331</v>
      </c>
    </row>
    <row r="12" spans="1:31" x14ac:dyDescent="0.25">
      <c r="A12" s="67" t="s">
        <v>18</v>
      </c>
      <c r="B12" s="59"/>
      <c r="C12" s="68">
        <f t="shared" ref="C12" si="14">C13</f>
        <v>1</v>
      </c>
      <c r="D12" s="69"/>
      <c r="E12" s="69"/>
      <c r="F12" s="51">
        <f>F13</f>
        <v>122</v>
      </c>
      <c r="G12" s="70">
        <f t="shared" ref="G12:H12" si="15">G13</f>
        <v>10</v>
      </c>
      <c r="H12" s="70">
        <f t="shared" si="15"/>
        <v>112</v>
      </c>
      <c r="I12" s="55">
        <f t="shared" si="0"/>
        <v>8.1967213114754092E-2</v>
      </c>
      <c r="K12" s="71">
        <f>K13</f>
        <v>14.64</v>
      </c>
      <c r="L12" s="71">
        <f t="shared" ref="L12:M12" si="16">L13</f>
        <v>0</v>
      </c>
      <c r="M12" s="71">
        <f t="shared" si="16"/>
        <v>14.64</v>
      </c>
      <c r="N12" s="46">
        <f t="shared" si="1"/>
        <v>0</v>
      </c>
      <c r="P12" s="56">
        <v>8.8435374149659865E-2</v>
      </c>
      <c r="R12" s="57">
        <v>4.9180327868852451E-2</v>
      </c>
      <c r="S12" s="57">
        <v>2.4590163934426229E-2</v>
      </c>
      <c r="T12" s="57">
        <v>8.1967213114754103E-3</v>
      </c>
      <c r="U12" s="57">
        <v>0</v>
      </c>
      <c r="W12" s="71">
        <f>W13</f>
        <v>107</v>
      </c>
      <c r="X12" s="71">
        <f t="shared" ref="X12:Y12" si="17">X13</f>
        <v>7</v>
      </c>
      <c r="Y12" s="71">
        <f t="shared" si="17"/>
        <v>100</v>
      </c>
      <c r="Z12" s="46">
        <f t="shared" si="2"/>
        <v>6.5420560747663545E-2</v>
      </c>
      <c r="AB12" s="71">
        <f>AB13</f>
        <v>15</v>
      </c>
      <c r="AC12" s="71">
        <f t="shared" ref="AC12:AD12" si="18">AC13</f>
        <v>3</v>
      </c>
      <c r="AD12" s="71">
        <f t="shared" si="18"/>
        <v>12</v>
      </c>
      <c r="AE12" s="46">
        <f t="shared" si="3"/>
        <v>0.2</v>
      </c>
    </row>
    <row r="13" spans="1:31" x14ac:dyDescent="0.25">
      <c r="A13" s="61" t="s">
        <v>19</v>
      </c>
      <c r="B13" s="62" t="s">
        <v>20</v>
      </c>
      <c r="C13" s="63">
        <v>1</v>
      </c>
      <c r="D13" s="62"/>
      <c r="E13" s="62"/>
      <c r="F13" s="63">
        <f>VLOOKUP(A:A,[1]Sheet1!$A:$D,4,0)</f>
        <v>122</v>
      </c>
      <c r="G13" s="63">
        <f>VLOOKUP(A:A,[1]Sheet1!$A:$C,3,0)</f>
        <v>10</v>
      </c>
      <c r="H13" s="64">
        <f t="shared" si="13"/>
        <v>112</v>
      </c>
      <c r="I13" s="55">
        <f t="shared" si="0"/>
        <v>8.1967213114754092E-2</v>
      </c>
      <c r="K13" s="65">
        <f>F13*12/100</f>
        <v>14.64</v>
      </c>
      <c r="L13" s="63"/>
      <c r="M13" s="64">
        <f t="shared" si="4"/>
        <v>14.64</v>
      </c>
      <c r="N13" s="46">
        <f t="shared" si="1"/>
        <v>0</v>
      </c>
      <c r="P13" s="56">
        <v>8.8435374149659865E-2</v>
      </c>
      <c r="R13" s="57">
        <v>4.9180327868852451E-2</v>
      </c>
      <c r="S13" s="57">
        <v>2.4590163934426229E-2</v>
      </c>
      <c r="T13" s="57">
        <v>8.1967213114754103E-3</v>
      </c>
      <c r="U13" s="57">
        <v>0</v>
      </c>
      <c r="W13" s="63">
        <f>VLOOKUP(A:A,'[1]2w &amp; 3w'!$A:$D,4,0)</f>
        <v>107</v>
      </c>
      <c r="X13" s="63">
        <f>VLOOKUP(A:A,'[1]2w &amp; 3w'!$A:$C,3,0)</f>
        <v>7</v>
      </c>
      <c r="Y13" s="63">
        <f t="shared" si="5"/>
        <v>100</v>
      </c>
      <c r="Z13" s="46">
        <f t="shared" si="2"/>
        <v>6.5420560747663545E-2</v>
      </c>
      <c r="AB13" s="63">
        <f>VLOOKUP(A:A,'[1]2w &amp; 3w'!$A:$G,7,0)</f>
        <v>15</v>
      </c>
      <c r="AC13" s="63">
        <f>VLOOKUP(A:A,'[1]2w &amp; 3w'!$A:$F,6,0)</f>
        <v>3</v>
      </c>
      <c r="AD13" s="63">
        <f t="shared" si="6"/>
        <v>12</v>
      </c>
      <c r="AE13" s="46">
        <f t="shared" si="3"/>
        <v>0.2</v>
      </c>
    </row>
    <row r="14" spans="1:31" x14ac:dyDescent="0.25">
      <c r="A14" s="58" t="s">
        <v>21</v>
      </c>
      <c r="B14" s="59"/>
      <c r="C14" s="66">
        <f>SUM(C15:C18)</f>
        <v>7</v>
      </c>
      <c r="D14" s="59"/>
      <c r="E14" s="59"/>
      <c r="F14" s="60">
        <f>SUM(F15:F18)</f>
        <v>821</v>
      </c>
      <c r="G14" s="60">
        <f>SUM(G15:G18)</f>
        <v>148</v>
      </c>
      <c r="H14" s="60">
        <f>SUM(H15:H18)</f>
        <v>673</v>
      </c>
      <c r="I14" s="55">
        <f t="shared" si="0"/>
        <v>0.18026796589524968</v>
      </c>
      <c r="K14" s="60">
        <f>SUM(K15:K18)</f>
        <v>98.52000000000001</v>
      </c>
      <c r="L14" s="60">
        <f>SUM(L15:L18)</f>
        <v>0</v>
      </c>
      <c r="M14" s="60">
        <f>SUM(M15:M18)</f>
        <v>98.52000000000001</v>
      </c>
      <c r="N14" s="46">
        <f t="shared" si="1"/>
        <v>0</v>
      </c>
      <c r="P14" s="56">
        <v>0.20671140939597316</v>
      </c>
      <c r="R14" s="57">
        <v>0.12789281364190011</v>
      </c>
      <c r="S14" s="57">
        <v>3.2886723507917173E-2</v>
      </c>
      <c r="T14" s="57">
        <v>1.5834348355663823E-2</v>
      </c>
      <c r="U14" s="57">
        <v>3.6540803897685747E-3</v>
      </c>
      <c r="W14" s="60">
        <f>SUM(W15:W18)</f>
        <v>149</v>
      </c>
      <c r="X14" s="60">
        <f>SUM(X15:X18)</f>
        <v>15</v>
      </c>
      <c r="Y14" s="60">
        <f>SUM(Y15:Y18)</f>
        <v>134</v>
      </c>
      <c r="Z14" s="46">
        <f t="shared" si="2"/>
        <v>0.10067114093959731</v>
      </c>
      <c r="AB14" s="60">
        <f>SUM(AB15:AB18)</f>
        <v>672</v>
      </c>
      <c r="AC14" s="60">
        <f>SUM(AC15:AC18)</f>
        <v>133</v>
      </c>
      <c r="AD14" s="60">
        <f>SUM(AD15:AD18)</f>
        <v>539</v>
      </c>
      <c r="AE14" s="46">
        <f t="shared" si="3"/>
        <v>0.19791666666666666</v>
      </c>
    </row>
    <row r="15" spans="1:31" x14ac:dyDescent="0.25">
      <c r="A15" s="61" t="s">
        <v>22</v>
      </c>
      <c r="B15" s="62"/>
      <c r="C15" s="63">
        <v>1</v>
      </c>
      <c r="D15" s="62"/>
      <c r="E15" s="62"/>
      <c r="F15" s="63">
        <f>VLOOKUP(A:A,[1]Sheet1!$A:$D,4,0)</f>
        <v>106</v>
      </c>
      <c r="G15" s="63">
        <f>VLOOKUP(A:A,[1]Sheet1!$A:$C,3,0)</f>
        <v>14</v>
      </c>
      <c r="H15" s="64">
        <f t="shared" ref="H15:H18" si="19">F15-G15</f>
        <v>92</v>
      </c>
      <c r="I15" s="55">
        <f t="shared" si="0"/>
        <v>0.13207547169811321</v>
      </c>
      <c r="K15" s="65">
        <f t="shared" ref="K15:K18" si="20">F15*12/100</f>
        <v>12.72</v>
      </c>
      <c r="L15" s="63"/>
      <c r="M15" s="64">
        <f>K15-L15</f>
        <v>12.72</v>
      </c>
      <c r="N15" s="46">
        <f t="shared" si="1"/>
        <v>0</v>
      </c>
      <c r="P15" s="56">
        <v>0.1440677966101695</v>
      </c>
      <c r="R15" s="57">
        <v>7.5471698113207544E-2</v>
      </c>
      <c r="S15" s="57">
        <v>2.8301886792452831E-2</v>
      </c>
      <c r="T15" s="57">
        <v>2.8301886792452831E-2</v>
      </c>
      <c r="U15" s="57">
        <v>0</v>
      </c>
      <c r="W15" s="63">
        <f>VLOOKUP(A:A,'[1]2w &amp; 3w'!$A:$D,4,0)</f>
        <v>68</v>
      </c>
      <c r="X15" s="63">
        <f>VLOOKUP(A:A,'[1]2w &amp; 3w'!$A:$C,3,0)</f>
        <v>10</v>
      </c>
      <c r="Y15" s="63">
        <f t="shared" si="5"/>
        <v>58</v>
      </c>
      <c r="Z15" s="46">
        <f t="shared" si="2"/>
        <v>0.14705882352941177</v>
      </c>
      <c r="AB15" s="63">
        <f>VLOOKUP(A:A,'[1]2w &amp; 3w'!$A:$G,7,0)</f>
        <v>38</v>
      </c>
      <c r="AC15" s="63">
        <f>VLOOKUP(A:A,'[1]2w &amp; 3w'!$A:$F,6,0)</f>
        <v>4</v>
      </c>
      <c r="AD15" s="63">
        <f t="shared" si="6"/>
        <v>34</v>
      </c>
      <c r="AE15" s="46">
        <f t="shared" si="3"/>
        <v>0.10526315789473684</v>
      </c>
    </row>
    <row r="16" spans="1:31" x14ac:dyDescent="0.25">
      <c r="A16" s="61" t="s">
        <v>23</v>
      </c>
      <c r="B16" s="62" t="s">
        <v>20</v>
      </c>
      <c r="C16" s="63">
        <v>3</v>
      </c>
      <c r="D16" s="62"/>
      <c r="E16" s="62"/>
      <c r="F16" s="63">
        <f>VLOOKUP(A:A,[1]Sheet1!$A:$D,4,0)</f>
        <v>330</v>
      </c>
      <c r="G16" s="63">
        <f>VLOOKUP(A:A,[1]Sheet1!$A:$C,3,0)</f>
        <v>50</v>
      </c>
      <c r="H16" s="64">
        <f t="shared" si="19"/>
        <v>280</v>
      </c>
      <c r="I16" s="55">
        <f t="shared" si="0"/>
        <v>0.15151515151515152</v>
      </c>
      <c r="K16" s="65">
        <f t="shared" si="20"/>
        <v>39.6</v>
      </c>
      <c r="L16" s="63"/>
      <c r="M16" s="64">
        <f t="shared" si="4"/>
        <v>39.6</v>
      </c>
      <c r="N16" s="46">
        <f t="shared" si="1"/>
        <v>0</v>
      </c>
      <c r="P16" s="56">
        <v>0.22175732217573221</v>
      </c>
      <c r="R16" s="57">
        <v>0.11212121212121212</v>
      </c>
      <c r="S16" s="57">
        <v>2.4242424242424239E-2</v>
      </c>
      <c r="T16" s="57">
        <v>1.2121212121212121E-2</v>
      </c>
      <c r="U16" s="57">
        <v>3.0303030303030303E-3</v>
      </c>
      <c r="W16" s="63">
        <f>VLOOKUP(A:A,'[1]2w &amp; 3w'!$A:$D,4,0)</f>
        <v>10</v>
      </c>
      <c r="X16" s="63">
        <f>VLOOKUP(A:A,'[1]2w &amp; 3w'!$A:$C,3,0)</f>
        <v>0</v>
      </c>
      <c r="Y16" s="63">
        <f t="shared" si="5"/>
        <v>10</v>
      </c>
      <c r="Z16" s="46">
        <f t="shared" si="2"/>
        <v>0</v>
      </c>
      <c r="AB16" s="63">
        <f>VLOOKUP(A:A,'[1]2w &amp; 3w'!$A:$G,7,0)</f>
        <v>320</v>
      </c>
      <c r="AC16" s="63">
        <f>VLOOKUP(A:A,'[1]2w &amp; 3w'!$A:$F,6,0)</f>
        <v>50</v>
      </c>
      <c r="AD16" s="63">
        <f t="shared" si="6"/>
        <v>270</v>
      </c>
      <c r="AE16" s="46">
        <f t="shared" si="3"/>
        <v>0.15625</v>
      </c>
    </row>
    <row r="17" spans="1:31" x14ac:dyDescent="0.25">
      <c r="A17" s="61" t="s">
        <v>24</v>
      </c>
      <c r="B17" s="62"/>
      <c r="C17" s="63">
        <v>1</v>
      </c>
      <c r="D17" s="62"/>
      <c r="E17" s="62"/>
      <c r="F17" s="63">
        <f>VLOOKUP(A:A,[1]Sheet1!$A:$D,4,0)</f>
        <v>134</v>
      </c>
      <c r="G17" s="63">
        <f>VLOOKUP(A:A,[1]Sheet1!$A:$C,3,0)</f>
        <v>23</v>
      </c>
      <c r="H17" s="64">
        <f t="shared" si="19"/>
        <v>111</v>
      </c>
      <c r="I17" s="55">
        <f t="shared" si="0"/>
        <v>0.17164179104477612</v>
      </c>
      <c r="K17" s="65">
        <f t="shared" si="20"/>
        <v>16.079999999999998</v>
      </c>
      <c r="L17" s="63"/>
      <c r="M17" s="64">
        <f t="shared" si="4"/>
        <v>16.079999999999998</v>
      </c>
      <c r="N17" s="46">
        <f t="shared" si="1"/>
        <v>0</v>
      </c>
      <c r="P17" s="56">
        <v>0.2231404958677686</v>
      </c>
      <c r="R17" s="57">
        <v>0.11940298507462686</v>
      </c>
      <c r="S17" s="57">
        <v>3.7313432835820892E-2</v>
      </c>
      <c r="T17" s="57">
        <v>1.4925373134328358E-2</v>
      </c>
      <c r="U17" s="57">
        <v>0</v>
      </c>
      <c r="W17" s="63">
        <f>VLOOKUP(A:A,'[1]2w &amp; 3w'!$A:$D,4,0)</f>
        <v>32</v>
      </c>
      <c r="X17" s="63">
        <f>VLOOKUP(A:A,'[1]2w &amp; 3w'!$A:$C,3,0)</f>
        <v>2</v>
      </c>
      <c r="Y17" s="63">
        <f t="shared" si="5"/>
        <v>30</v>
      </c>
      <c r="Z17" s="46">
        <f t="shared" si="2"/>
        <v>6.25E-2</v>
      </c>
      <c r="AB17" s="63">
        <f>VLOOKUP(A:A,'[1]2w &amp; 3w'!$A:$G,7,0)</f>
        <v>102</v>
      </c>
      <c r="AC17" s="63">
        <f>VLOOKUP(A:A,'[1]2w &amp; 3w'!$A:$F,6,0)</f>
        <v>21</v>
      </c>
      <c r="AD17" s="63">
        <f t="shared" si="6"/>
        <v>81</v>
      </c>
      <c r="AE17" s="46">
        <f t="shared" si="3"/>
        <v>0.20588235294117646</v>
      </c>
    </row>
    <row r="18" spans="1:31" x14ac:dyDescent="0.25">
      <c r="A18" s="61" t="s">
        <v>25</v>
      </c>
      <c r="B18" s="62" t="s">
        <v>20</v>
      </c>
      <c r="C18" s="63">
        <v>2</v>
      </c>
      <c r="D18" s="62"/>
      <c r="E18" s="62"/>
      <c r="F18" s="63">
        <f>VLOOKUP(A:A,[1]Sheet1!$A:$D,4,0)</f>
        <v>251</v>
      </c>
      <c r="G18" s="63">
        <f>VLOOKUP(A:A,[1]Sheet1!$A:$C,3,0)</f>
        <v>61</v>
      </c>
      <c r="H18" s="64">
        <f t="shared" si="19"/>
        <v>190</v>
      </c>
      <c r="I18" s="55">
        <f t="shared" si="0"/>
        <v>0.24302788844621515</v>
      </c>
      <c r="K18" s="65">
        <f t="shared" si="20"/>
        <v>30.12</v>
      </c>
      <c r="L18" s="63"/>
      <c r="M18" s="64">
        <f t="shared" si="4"/>
        <v>30.12</v>
      </c>
      <c r="N18" s="46">
        <f t="shared" si="1"/>
        <v>0</v>
      </c>
      <c r="P18" s="56">
        <v>0.21348314606741572</v>
      </c>
      <c r="R18" s="57">
        <v>0.1752988047808765</v>
      </c>
      <c r="S18" s="57">
        <v>4.3824701195219119E-2</v>
      </c>
      <c r="T18" s="57">
        <v>1.5936254980079681E-2</v>
      </c>
      <c r="U18" s="57">
        <v>7.9681274900398405E-3</v>
      </c>
      <c r="W18" s="63">
        <f>VLOOKUP(A:A,'[1]2w &amp; 3w'!$A:$D,4,0)</f>
        <v>39</v>
      </c>
      <c r="X18" s="63">
        <f>VLOOKUP(A:A,'[1]2w &amp; 3w'!$A:$C,3,0)</f>
        <v>3</v>
      </c>
      <c r="Y18" s="63">
        <f t="shared" si="5"/>
        <v>36</v>
      </c>
      <c r="Z18" s="46">
        <f t="shared" si="2"/>
        <v>7.6923076923076927E-2</v>
      </c>
      <c r="AB18" s="63">
        <f>VLOOKUP(A:A,'[1]2w &amp; 3w'!$A:$G,7,0)</f>
        <v>212</v>
      </c>
      <c r="AC18" s="63">
        <f>VLOOKUP(A:A,'[1]2w &amp; 3w'!$A:$F,6,0)</f>
        <v>58</v>
      </c>
      <c r="AD18" s="63">
        <f t="shared" si="6"/>
        <v>154</v>
      </c>
      <c r="AE18" s="46">
        <f t="shared" si="3"/>
        <v>0.27358490566037735</v>
      </c>
    </row>
    <row r="19" spans="1:31" x14ac:dyDescent="0.25">
      <c r="A19" s="58" t="s">
        <v>26</v>
      </c>
      <c r="B19" s="59"/>
      <c r="C19" s="51">
        <f>SUM(C20:C22)</f>
        <v>4</v>
      </c>
      <c r="D19" s="59"/>
      <c r="E19" s="59"/>
      <c r="F19" s="51">
        <f>SUM(F20:F23)</f>
        <v>507</v>
      </c>
      <c r="G19" s="51">
        <f t="shared" ref="G19:H19" si="21">SUM(G20:G23)</f>
        <v>51</v>
      </c>
      <c r="H19" s="51">
        <f t="shared" si="21"/>
        <v>456</v>
      </c>
      <c r="I19" s="55">
        <f t="shared" si="0"/>
        <v>0.10059171597633136</v>
      </c>
      <c r="K19" s="72">
        <f>SUM(K20:K23)</f>
        <v>60.839999999999996</v>
      </c>
      <c r="L19" s="72">
        <f>SUM(L20:L23)</f>
        <v>0</v>
      </c>
      <c r="M19" s="72">
        <f t="shared" ref="M19" si="22">SUM(M20:M23)</f>
        <v>60.839999999999996</v>
      </c>
      <c r="N19" s="46">
        <f t="shared" si="1"/>
        <v>0</v>
      </c>
      <c r="P19" s="56">
        <v>0.13868613138686131</v>
      </c>
      <c r="R19" s="57">
        <v>6.9033530571992102E-2</v>
      </c>
      <c r="S19" s="57">
        <v>1.3806706114398423E-2</v>
      </c>
      <c r="T19" s="57">
        <v>1.3806706114398423E-2</v>
      </c>
      <c r="U19" s="57">
        <v>3.9447731755424065E-3</v>
      </c>
      <c r="W19" s="72">
        <f>SUM(W20:W23)</f>
        <v>480</v>
      </c>
      <c r="X19" s="72">
        <f>SUM(X20:X23)</f>
        <v>46</v>
      </c>
      <c r="Y19" s="72">
        <f t="shared" ref="Y19" si="23">SUM(Y20:Y23)</f>
        <v>434</v>
      </c>
      <c r="Z19" s="46">
        <f t="shared" si="2"/>
        <v>9.583333333333334E-2</v>
      </c>
      <c r="AB19" s="72">
        <f>SUM(AB20:AB23)</f>
        <v>27</v>
      </c>
      <c r="AC19" s="72">
        <f>SUM(AC20:AC23)</f>
        <v>5</v>
      </c>
      <c r="AD19" s="72">
        <f t="shared" ref="AD19" si="24">SUM(AD20:AD23)</f>
        <v>22</v>
      </c>
      <c r="AE19" s="46">
        <f t="shared" si="3"/>
        <v>0.18518518518518517</v>
      </c>
    </row>
    <row r="20" spans="1:31" x14ac:dyDescent="0.25">
      <c r="A20" s="61" t="s">
        <v>27</v>
      </c>
      <c r="B20" s="62"/>
      <c r="C20" s="63">
        <v>1</v>
      </c>
      <c r="D20" s="62"/>
      <c r="E20" s="62"/>
      <c r="F20" s="63">
        <f>VLOOKUP(A:A,[1]Sheet1!$A:$D,4,0)</f>
        <v>127</v>
      </c>
      <c r="G20" s="63">
        <f>VLOOKUP(A:A,[1]Sheet1!$A:$C,3,0)</f>
        <v>17</v>
      </c>
      <c r="H20" s="64">
        <f t="shared" ref="H20:H23" si="25">F20-G20</f>
        <v>110</v>
      </c>
      <c r="I20" s="55">
        <f t="shared" si="0"/>
        <v>0.13385826771653545</v>
      </c>
      <c r="K20" s="65">
        <f t="shared" ref="K20:K23" si="26">F20*12/100</f>
        <v>15.24</v>
      </c>
      <c r="L20" s="63"/>
      <c r="M20" s="64">
        <f t="shared" si="4"/>
        <v>15.24</v>
      </c>
      <c r="N20" s="46">
        <f t="shared" si="1"/>
        <v>0</v>
      </c>
      <c r="P20" s="56">
        <v>0.125</v>
      </c>
      <c r="R20" s="57">
        <v>9.4488188976377965E-2</v>
      </c>
      <c r="S20" s="57">
        <v>7.874015748031496E-3</v>
      </c>
      <c r="T20" s="57">
        <v>2.3622047244094488E-2</v>
      </c>
      <c r="U20" s="57">
        <v>7.874015748031496E-3</v>
      </c>
      <c r="W20" s="63">
        <f>VLOOKUP(A:A,'[1]2w &amp; 3w'!$A:$D,4,0)</f>
        <v>120</v>
      </c>
      <c r="X20" s="63">
        <f>VLOOKUP(A:A,'[1]2w &amp; 3w'!$A:$C,3,0)</f>
        <v>17</v>
      </c>
      <c r="Y20" s="63">
        <f t="shared" si="5"/>
        <v>103</v>
      </c>
      <c r="Z20" s="46">
        <f t="shared" si="2"/>
        <v>0.14166666666666666</v>
      </c>
      <c r="AB20" s="63">
        <f>VLOOKUP(A:A,'[1]2w &amp; 3w'!$A:$G,7,0)</f>
        <v>7</v>
      </c>
      <c r="AC20" s="63">
        <f>VLOOKUP(A:A,'[1]2w &amp; 3w'!$A:$F,6,0)</f>
        <v>0</v>
      </c>
      <c r="AD20" s="63">
        <f t="shared" si="6"/>
        <v>7</v>
      </c>
      <c r="AE20" s="46">
        <f t="shared" si="3"/>
        <v>0</v>
      </c>
    </row>
    <row r="21" spans="1:31" x14ac:dyDescent="0.25">
      <c r="A21" s="61" t="s">
        <v>28</v>
      </c>
      <c r="B21" s="62"/>
      <c r="C21" s="63">
        <v>1</v>
      </c>
      <c r="D21" s="62"/>
      <c r="E21" s="62"/>
      <c r="F21" s="63">
        <f>VLOOKUP(A:A,[1]Sheet1!$A:$D,4,0)</f>
        <v>113</v>
      </c>
      <c r="G21" s="63">
        <f>VLOOKUP(A:A,[1]Sheet1!$A:$C,3,0)</f>
        <v>11</v>
      </c>
      <c r="H21" s="64">
        <f t="shared" si="25"/>
        <v>102</v>
      </c>
      <c r="I21" s="55">
        <f>G21/F21</f>
        <v>9.7345132743362831E-2</v>
      </c>
      <c r="K21" s="65">
        <f t="shared" si="26"/>
        <v>13.56</v>
      </c>
      <c r="L21" s="63"/>
      <c r="M21" s="64">
        <f t="shared" si="4"/>
        <v>13.56</v>
      </c>
      <c r="N21" s="46">
        <f t="shared" si="1"/>
        <v>0</v>
      </c>
      <c r="P21" s="56">
        <v>0.15789473684210525</v>
      </c>
      <c r="R21" s="57">
        <v>7.9646017699115043E-2</v>
      </c>
      <c r="S21" s="57">
        <v>8.8495575221238937E-3</v>
      </c>
      <c r="T21" s="57">
        <v>8.8495575221238937E-3</v>
      </c>
      <c r="U21" s="57">
        <v>0</v>
      </c>
      <c r="W21" s="63">
        <f>VLOOKUP(A:A,'[1]2w &amp; 3w'!$A:$D,4,0)</f>
        <v>93</v>
      </c>
      <c r="X21" s="63">
        <f>VLOOKUP(A:A,'[1]2w &amp; 3w'!$A:$C,3,0)</f>
        <v>6</v>
      </c>
      <c r="Y21" s="63">
        <f t="shared" si="5"/>
        <v>87</v>
      </c>
      <c r="Z21" s="46">
        <f t="shared" si="2"/>
        <v>6.4516129032258063E-2</v>
      </c>
      <c r="AB21" s="63">
        <f>VLOOKUP(A:A,'[1]2w &amp; 3w'!$A:$G,7,0)</f>
        <v>20</v>
      </c>
      <c r="AC21" s="63">
        <f>VLOOKUP(A:A,'[1]2w &amp; 3w'!$A:$F,6,0)</f>
        <v>5</v>
      </c>
      <c r="AD21" s="63">
        <f t="shared" si="6"/>
        <v>15</v>
      </c>
      <c r="AE21" s="46">
        <f t="shared" si="3"/>
        <v>0.25</v>
      </c>
    </row>
    <row r="22" spans="1:31" x14ac:dyDescent="0.25">
      <c r="A22" s="61" t="s">
        <v>29</v>
      </c>
      <c r="B22" s="62"/>
      <c r="C22" s="63">
        <v>2</v>
      </c>
      <c r="D22" s="62"/>
      <c r="E22" s="62"/>
      <c r="F22" s="63">
        <f>VLOOKUP(A:A,[1]Sheet1!$A:$D,4,0)</f>
        <v>247</v>
      </c>
      <c r="G22" s="63">
        <f>VLOOKUP(A:A,[1]Sheet1!$A:$C,3,0)</f>
        <v>22</v>
      </c>
      <c r="H22" s="64">
        <f t="shared" si="25"/>
        <v>225</v>
      </c>
      <c r="I22" s="55">
        <f>G22/F22</f>
        <v>8.9068825910931168E-2</v>
      </c>
      <c r="K22" s="65">
        <f t="shared" si="26"/>
        <v>29.64</v>
      </c>
      <c r="L22" s="63"/>
      <c r="M22" s="64">
        <f t="shared" si="4"/>
        <v>29.64</v>
      </c>
      <c r="N22" s="46">
        <f t="shared" si="1"/>
        <v>0</v>
      </c>
      <c r="P22" s="56">
        <v>9.8360655737704916E-2</v>
      </c>
      <c r="R22" s="57">
        <v>5.6680161943319832E-2</v>
      </c>
      <c r="S22" s="57">
        <v>2.0242914979757085E-2</v>
      </c>
      <c r="T22" s="57">
        <v>1.2145748987854251E-2</v>
      </c>
      <c r="U22" s="57">
        <v>0</v>
      </c>
      <c r="W22" s="63">
        <f>VLOOKUP(A:A,'[1]2w &amp; 3w'!$A:$D,4,0)</f>
        <v>247</v>
      </c>
      <c r="X22" s="63">
        <f>VLOOKUP(A:A,'[1]2w &amp; 3w'!$A:$C,3,0)</f>
        <v>22</v>
      </c>
      <c r="Y22" s="63">
        <f t="shared" si="5"/>
        <v>225</v>
      </c>
      <c r="Z22" s="46">
        <f t="shared" si="2"/>
        <v>8.9068825910931168E-2</v>
      </c>
      <c r="AB22" s="63">
        <f>VLOOKUP(A:A,'[1]2w &amp; 3w'!$A:$G,7,0)</f>
        <v>0</v>
      </c>
      <c r="AC22" s="63">
        <f>VLOOKUP(A:A,'[1]2w &amp; 3w'!$A:$F,6,0)</f>
        <v>0</v>
      </c>
      <c r="AD22" s="63">
        <f t="shared" si="6"/>
        <v>0</v>
      </c>
      <c r="AE22" s="46">
        <v>0</v>
      </c>
    </row>
    <row r="23" spans="1:31" x14ac:dyDescent="0.25">
      <c r="A23" s="61" t="s">
        <v>30</v>
      </c>
      <c r="B23" s="62"/>
      <c r="C23" s="63"/>
      <c r="D23" s="62"/>
      <c r="E23" s="62"/>
      <c r="F23" s="63">
        <f>VLOOKUP(A:A,[1]Sheet1!$A:$D,4,0)</f>
        <v>20</v>
      </c>
      <c r="G23" s="63">
        <f>VLOOKUP(A:A,[1]Sheet1!$A:$C,3,0)</f>
        <v>1</v>
      </c>
      <c r="H23" s="64">
        <f t="shared" si="25"/>
        <v>19</v>
      </c>
      <c r="I23" s="55">
        <f>G23/F23</f>
        <v>0.05</v>
      </c>
      <c r="K23" s="65">
        <f t="shared" si="26"/>
        <v>2.4</v>
      </c>
      <c r="L23" s="63"/>
      <c r="M23" s="64">
        <f t="shared" si="4"/>
        <v>2.4</v>
      </c>
      <c r="N23" s="46">
        <f t="shared" si="1"/>
        <v>0</v>
      </c>
      <c r="P23" s="56">
        <v>0</v>
      </c>
      <c r="R23" s="57">
        <v>0</v>
      </c>
      <c r="S23" s="57">
        <v>0</v>
      </c>
      <c r="T23" s="57">
        <v>0</v>
      </c>
      <c r="U23" s="57">
        <v>0.05</v>
      </c>
      <c r="W23" s="63">
        <f>VLOOKUP(A:A,'[1]2w &amp; 3w'!$A:$D,4,0)</f>
        <v>20</v>
      </c>
      <c r="X23" s="63">
        <f>VLOOKUP(A:A,'[1]2w &amp; 3w'!$A:$C,3,0)</f>
        <v>1</v>
      </c>
      <c r="Y23" s="63">
        <f t="shared" si="5"/>
        <v>19</v>
      </c>
      <c r="Z23" s="46">
        <f t="shared" si="2"/>
        <v>0.05</v>
      </c>
      <c r="AB23" s="63">
        <f>VLOOKUP(A:A,'[1]2w &amp; 3w'!$A:$G,7,0)</f>
        <v>0</v>
      </c>
      <c r="AC23" s="63">
        <f>VLOOKUP(A:A,'[1]2w &amp; 3w'!$A:$F,6,0)</f>
        <v>0</v>
      </c>
      <c r="AD23" s="63">
        <f t="shared" si="6"/>
        <v>0</v>
      </c>
      <c r="AE23" s="46">
        <v>0</v>
      </c>
    </row>
    <row r="24" spans="1:31" x14ac:dyDescent="0.25">
      <c r="A24" s="58" t="s">
        <v>31</v>
      </c>
      <c r="B24" s="59"/>
      <c r="C24" s="51">
        <f>SUM(C25:C27)</f>
        <v>5</v>
      </c>
      <c r="D24" s="59"/>
      <c r="E24" s="59"/>
      <c r="F24" s="51">
        <f>SUM(F25:F27)</f>
        <v>488</v>
      </c>
      <c r="G24" s="51">
        <f>SUM(G25:G27)</f>
        <v>57</v>
      </c>
      <c r="H24" s="51">
        <f>SUM(H25:H27)</f>
        <v>431</v>
      </c>
      <c r="I24" s="55">
        <f t="shared" si="0"/>
        <v>0.11680327868852459</v>
      </c>
      <c r="K24" s="72">
        <f>SUM(K25:K27)</f>
        <v>58.56</v>
      </c>
      <c r="L24" s="72">
        <f>SUM(L25:L27)</f>
        <v>0</v>
      </c>
      <c r="M24" s="72">
        <f>SUM(M25:M27)</f>
        <v>58.56</v>
      </c>
      <c r="N24" s="46">
        <f t="shared" si="1"/>
        <v>0</v>
      </c>
      <c r="P24" s="56">
        <v>0.15441176470588236</v>
      </c>
      <c r="R24" s="57">
        <v>6.9672131147540992E-2</v>
      </c>
      <c r="S24" s="57">
        <v>2.663934426229508E-2</v>
      </c>
      <c r="T24" s="57">
        <v>1.6393442622950817E-2</v>
      </c>
      <c r="U24" s="57">
        <v>4.0983606557377051E-3</v>
      </c>
      <c r="W24" s="72">
        <f>SUM(W25:W27)</f>
        <v>135</v>
      </c>
      <c r="X24" s="72">
        <f>SUM(X25:X27)</f>
        <v>5</v>
      </c>
      <c r="Y24" s="72">
        <f>SUM(Y25:Y27)</f>
        <v>130</v>
      </c>
      <c r="Z24" s="46">
        <f t="shared" si="2"/>
        <v>3.7037037037037035E-2</v>
      </c>
      <c r="AB24" s="72">
        <f>SUM(AB25:AB27)</f>
        <v>353</v>
      </c>
      <c r="AC24" s="72">
        <f>SUM(AC25:AC27)</f>
        <v>52</v>
      </c>
      <c r="AD24" s="72">
        <f>SUM(AD25:AD27)</f>
        <v>301</v>
      </c>
      <c r="AE24" s="46">
        <f t="shared" si="3"/>
        <v>0.14730878186968838</v>
      </c>
    </row>
    <row r="25" spans="1:31" x14ac:dyDescent="0.25">
      <c r="A25" s="61" t="s">
        <v>32</v>
      </c>
      <c r="B25" s="62" t="s">
        <v>20</v>
      </c>
      <c r="C25" s="63">
        <v>3</v>
      </c>
      <c r="D25" s="62"/>
      <c r="E25" s="62"/>
      <c r="F25" s="63">
        <f>VLOOKUP(A:A,[1]Sheet1!$A:$D,4,0)</f>
        <v>271</v>
      </c>
      <c r="G25" s="63">
        <f>VLOOKUP(A:A,[1]Sheet1!$A:$C,3,0)</f>
        <v>38</v>
      </c>
      <c r="H25" s="64">
        <f t="shared" ref="H25:H27" si="27">F25-G25</f>
        <v>233</v>
      </c>
      <c r="I25" s="55">
        <f t="shared" si="0"/>
        <v>0.14022140221402213</v>
      </c>
      <c r="K25" s="65">
        <f t="shared" ref="K25:K27" si="28">F25*12/100</f>
        <v>32.520000000000003</v>
      </c>
      <c r="L25" s="63"/>
      <c r="M25" s="64">
        <f t="shared" si="4"/>
        <v>32.520000000000003</v>
      </c>
      <c r="N25" s="46">
        <f t="shared" si="1"/>
        <v>0</v>
      </c>
      <c r="P25" s="56">
        <v>0.16544117647058823</v>
      </c>
      <c r="R25" s="57">
        <v>7.380073800738006E-2</v>
      </c>
      <c r="S25" s="57">
        <v>4.0590405904059046E-2</v>
      </c>
      <c r="T25" s="57">
        <v>2.2140221402214024E-2</v>
      </c>
      <c r="U25" s="57">
        <v>3.6900369003690036E-3</v>
      </c>
      <c r="W25" s="63">
        <f>VLOOKUP(A:A,'[1]2w &amp; 3w'!$A:$D,4,0)</f>
        <v>18</v>
      </c>
      <c r="X25" s="63">
        <f>VLOOKUP(A:A,'[1]2w &amp; 3w'!$A:$C,3,0)</f>
        <v>0</v>
      </c>
      <c r="Y25" s="63">
        <f t="shared" si="5"/>
        <v>18</v>
      </c>
      <c r="Z25" s="46">
        <f t="shared" si="2"/>
        <v>0</v>
      </c>
      <c r="AB25" s="63">
        <f>VLOOKUP(A:A,'[1]2w &amp; 3w'!$A:$G,7,0)</f>
        <v>253</v>
      </c>
      <c r="AC25" s="63">
        <f>VLOOKUP(A:A,'[1]2w &amp; 3w'!$A:$F,6,0)</f>
        <v>38</v>
      </c>
      <c r="AD25" s="63">
        <f t="shared" si="6"/>
        <v>215</v>
      </c>
      <c r="AE25" s="46">
        <f t="shared" si="3"/>
        <v>0.15019762845849802</v>
      </c>
    </row>
    <row r="26" spans="1:31" x14ac:dyDescent="0.25">
      <c r="A26" s="61" t="s">
        <v>33</v>
      </c>
      <c r="B26" s="62" t="s">
        <v>20</v>
      </c>
      <c r="C26" s="63">
        <v>1</v>
      </c>
      <c r="D26" s="62"/>
      <c r="E26" s="62"/>
      <c r="F26" s="63">
        <f>VLOOKUP(A:A,[1]Sheet1!$A:$D,4,0)</f>
        <v>121</v>
      </c>
      <c r="G26" s="63">
        <f>VLOOKUP(A:A,[1]Sheet1!$A:$C,3,0)</f>
        <v>12</v>
      </c>
      <c r="H26" s="64">
        <f t="shared" si="27"/>
        <v>109</v>
      </c>
      <c r="I26" s="55">
        <f t="shared" si="0"/>
        <v>9.9173553719008267E-2</v>
      </c>
      <c r="K26" s="65">
        <f t="shared" si="28"/>
        <v>14.52</v>
      </c>
      <c r="L26" s="63"/>
      <c r="M26" s="64">
        <f t="shared" si="4"/>
        <v>14.52</v>
      </c>
      <c r="N26" s="46">
        <f t="shared" si="1"/>
        <v>0</v>
      </c>
      <c r="P26" s="56">
        <v>0.15</v>
      </c>
      <c r="R26" s="57">
        <v>6.6115702479338845E-2</v>
      </c>
      <c r="S26" s="57">
        <v>1.6528925619834711E-2</v>
      </c>
      <c r="T26" s="57">
        <v>8.2644628099173556E-3</v>
      </c>
      <c r="U26" s="57">
        <v>8.2644628099173556E-3</v>
      </c>
      <c r="W26" s="63">
        <f>VLOOKUP(A:A,'[1]2w &amp; 3w'!$A:$D,4,0)</f>
        <v>41</v>
      </c>
      <c r="X26" s="63">
        <f>VLOOKUP(A:A,'[1]2w &amp; 3w'!$A:$C,3,0)</f>
        <v>1</v>
      </c>
      <c r="Y26" s="63">
        <f t="shared" si="5"/>
        <v>40</v>
      </c>
      <c r="Z26" s="46">
        <f t="shared" si="2"/>
        <v>2.4390243902439025E-2</v>
      </c>
      <c r="AB26" s="63">
        <f>VLOOKUP(A:A,'[1]2w &amp; 3w'!$A:$G,7,0)</f>
        <v>80</v>
      </c>
      <c r="AC26" s="63">
        <f>VLOOKUP(A:A,'[1]2w &amp; 3w'!$A:$F,6,0)</f>
        <v>11</v>
      </c>
      <c r="AD26" s="63">
        <f t="shared" si="6"/>
        <v>69</v>
      </c>
      <c r="AE26" s="46">
        <f t="shared" si="3"/>
        <v>0.13750000000000001</v>
      </c>
    </row>
    <row r="27" spans="1:31" x14ac:dyDescent="0.25">
      <c r="A27" s="61" t="s">
        <v>34</v>
      </c>
      <c r="B27" s="62" t="s">
        <v>20</v>
      </c>
      <c r="C27" s="63">
        <v>1</v>
      </c>
      <c r="D27" s="62"/>
      <c r="E27" s="62"/>
      <c r="F27" s="63">
        <f>VLOOKUP(A:A,[1]Sheet1!$A:$D,4,0)</f>
        <v>96</v>
      </c>
      <c r="G27" s="63">
        <f>VLOOKUP(A:A,[1]Sheet1!$A:$C,3,0)</f>
        <v>7</v>
      </c>
      <c r="H27" s="64">
        <f t="shared" si="27"/>
        <v>89</v>
      </c>
      <c r="I27" s="55">
        <f>G27/F27</f>
        <v>7.2916666666666671E-2</v>
      </c>
      <c r="K27" s="65">
        <f t="shared" si="28"/>
        <v>11.52</v>
      </c>
      <c r="L27" s="63"/>
      <c r="M27" s="64">
        <f t="shared" si="4"/>
        <v>11.52</v>
      </c>
      <c r="N27" s="46">
        <f t="shared" si="1"/>
        <v>0</v>
      </c>
      <c r="P27" s="56">
        <v>0.12903225806451613</v>
      </c>
      <c r="R27" s="57">
        <v>6.25E-2</v>
      </c>
      <c r="S27" s="57">
        <v>0</v>
      </c>
      <c r="T27" s="57">
        <v>1.0416666666666666E-2</v>
      </c>
      <c r="U27" s="57">
        <v>0</v>
      </c>
      <c r="W27" s="63">
        <f>VLOOKUP(A:A,'[1]2w &amp; 3w'!$A:$D,4,0)</f>
        <v>76</v>
      </c>
      <c r="X27" s="63">
        <f>VLOOKUP(A:A,'[1]2w &amp; 3w'!$A:$C,3,0)</f>
        <v>4</v>
      </c>
      <c r="Y27" s="63">
        <f t="shared" si="5"/>
        <v>72</v>
      </c>
      <c r="Z27" s="46">
        <f t="shared" si="2"/>
        <v>5.2631578947368418E-2</v>
      </c>
      <c r="AB27" s="63">
        <f>VLOOKUP(A:A,'[1]2w &amp; 3w'!$A:$G,7,0)</f>
        <v>20</v>
      </c>
      <c r="AC27" s="63">
        <f>VLOOKUP(A:A,'[1]2w &amp; 3w'!$A:$F,6,0)</f>
        <v>3</v>
      </c>
      <c r="AD27" s="63">
        <f t="shared" si="6"/>
        <v>17</v>
      </c>
      <c r="AE27" s="46">
        <f t="shared" si="3"/>
        <v>0.15</v>
      </c>
    </row>
    <row r="28" spans="1:31" x14ac:dyDescent="0.25">
      <c r="A28" s="67" t="s">
        <v>35</v>
      </c>
      <c r="B28" s="59"/>
      <c r="C28" s="73">
        <f>SUM(C29:C33)</f>
        <v>5</v>
      </c>
      <c r="D28" s="51"/>
      <c r="E28" s="51"/>
      <c r="F28" s="73">
        <f>SUM(F29:F33)</f>
        <v>507</v>
      </c>
      <c r="G28" s="73">
        <f>SUM(G29:G33)</f>
        <v>41</v>
      </c>
      <c r="H28" s="73">
        <f>SUM(H29:H33)</f>
        <v>466</v>
      </c>
      <c r="I28" s="55">
        <f t="shared" si="0"/>
        <v>8.0867850098619326E-2</v>
      </c>
      <c r="K28" s="73">
        <f>SUM(K29:K33)</f>
        <v>60.839999999999996</v>
      </c>
      <c r="L28" s="73">
        <f>SUM(L29:L33)</f>
        <v>0</v>
      </c>
      <c r="M28" s="73">
        <f>SUM(M29:M33)</f>
        <v>60.839999999999996</v>
      </c>
      <c r="N28" s="46">
        <f t="shared" si="1"/>
        <v>0</v>
      </c>
      <c r="P28" s="56">
        <v>0.13229571984435798</v>
      </c>
      <c r="R28" s="57">
        <v>4.1420118343195263E-2</v>
      </c>
      <c r="S28" s="57">
        <v>1.5779092702169626E-2</v>
      </c>
      <c r="T28" s="57">
        <v>1.9723865877712032E-2</v>
      </c>
      <c r="U28" s="57">
        <v>3.9447731755424065E-3</v>
      </c>
      <c r="W28" s="73">
        <f>SUM(W29:W33)</f>
        <v>211</v>
      </c>
      <c r="X28" s="73">
        <f>SUM(X29:X33)</f>
        <v>6</v>
      </c>
      <c r="Y28" s="73">
        <f>SUM(Y29:Y33)</f>
        <v>205</v>
      </c>
      <c r="Z28" s="46">
        <f t="shared" si="2"/>
        <v>2.843601895734597E-2</v>
      </c>
      <c r="AB28" s="73">
        <f>SUM(AB29:AB33)</f>
        <v>296</v>
      </c>
      <c r="AC28" s="73">
        <f>SUM(AC29:AC33)</f>
        <v>35</v>
      </c>
      <c r="AD28" s="73">
        <f>SUM(AD29:AD33)</f>
        <v>261</v>
      </c>
      <c r="AE28" s="46">
        <f t="shared" si="3"/>
        <v>0.11824324324324324</v>
      </c>
    </row>
    <row r="29" spans="1:31" x14ac:dyDescent="0.25">
      <c r="A29" s="61" t="s">
        <v>36</v>
      </c>
      <c r="B29" s="62"/>
      <c r="C29" s="63">
        <v>1</v>
      </c>
      <c r="D29" s="62"/>
      <c r="E29" s="62"/>
      <c r="F29" s="63">
        <f>VLOOKUP(A:A,[1]Sheet1!$A:$D,4,0)</f>
        <v>76</v>
      </c>
      <c r="G29" s="63">
        <f>VLOOKUP(A:A,[1]Sheet1!$A:$C,3,0)</f>
        <v>5</v>
      </c>
      <c r="H29" s="64">
        <f t="shared" ref="H29" si="29">F29-G29</f>
        <v>71</v>
      </c>
      <c r="I29" s="55">
        <f t="shared" si="0"/>
        <v>6.5789473684210523E-2</v>
      </c>
      <c r="K29" s="65">
        <f t="shared" ref="K29:K33" si="30">F29*12/100</f>
        <v>9.1199999999999992</v>
      </c>
      <c r="L29" s="63"/>
      <c r="M29" s="64">
        <f t="shared" si="4"/>
        <v>9.1199999999999992</v>
      </c>
      <c r="N29" s="46">
        <f t="shared" si="1"/>
        <v>0</v>
      </c>
      <c r="P29" s="56">
        <v>9.7560975609756101E-2</v>
      </c>
      <c r="R29" s="57">
        <v>3.9473684210526314E-2</v>
      </c>
      <c r="S29" s="57">
        <v>1.3157894736842105E-2</v>
      </c>
      <c r="T29" s="57">
        <v>1.3157894736842105E-2</v>
      </c>
      <c r="U29" s="57">
        <v>0</v>
      </c>
      <c r="W29" s="63">
        <f>VLOOKUP(A:A,'[1]2w &amp; 3w'!$A:$D,4,0)</f>
        <v>45</v>
      </c>
      <c r="X29" s="63">
        <f>VLOOKUP(A:A,'[1]2w &amp; 3w'!$A:$C,3,0)</f>
        <v>2</v>
      </c>
      <c r="Y29" s="63">
        <f t="shared" si="5"/>
        <v>43</v>
      </c>
      <c r="Z29" s="46">
        <f t="shared" si="2"/>
        <v>4.4444444444444446E-2</v>
      </c>
      <c r="AB29" s="63">
        <f>VLOOKUP(A:A,'[1]2w &amp; 3w'!$A:$G,7,0)</f>
        <v>31</v>
      </c>
      <c r="AC29" s="63">
        <f>VLOOKUP(A:A,'[1]2w &amp; 3w'!$A:$F,6,0)</f>
        <v>3</v>
      </c>
      <c r="AD29" s="63">
        <f t="shared" si="6"/>
        <v>28</v>
      </c>
      <c r="AE29" s="46">
        <f t="shared" si="3"/>
        <v>9.6774193548387094E-2</v>
      </c>
    </row>
    <row r="30" spans="1:31" x14ac:dyDescent="0.25">
      <c r="A30" s="61" t="s">
        <v>37</v>
      </c>
      <c r="B30" s="62"/>
      <c r="C30" s="63">
        <v>1</v>
      </c>
      <c r="D30" s="62"/>
      <c r="E30" s="62"/>
      <c r="F30" s="63">
        <f>VLOOKUP(A:A,[1]Sheet1!$A:$D,4,0)</f>
        <v>93</v>
      </c>
      <c r="G30" s="63">
        <f>VLOOKUP(A:A,[1]Sheet1!$A:$C,3,0)</f>
        <v>2</v>
      </c>
      <c r="H30" s="64">
        <f>F30-G30</f>
        <v>91</v>
      </c>
      <c r="I30" s="55">
        <f>G30/F30</f>
        <v>2.1505376344086023E-2</v>
      </c>
      <c r="K30" s="65">
        <f t="shared" si="30"/>
        <v>11.16</v>
      </c>
      <c r="L30" s="63"/>
      <c r="M30" s="64">
        <f t="shared" si="4"/>
        <v>11.16</v>
      </c>
      <c r="N30" s="46">
        <f t="shared" si="1"/>
        <v>0</v>
      </c>
      <c r="P30" s="56">
        <v>0.14754098360655737</v>
      </c>
      <c r="R30" s="57">
        <v>2.1505376344086023E-2</v>
      </c>
      <c r="S30" s="57">
        <v>0</v>
      </c>
      <c r="T30" s="57">
        <v>0</v>
      </c>
      <c r="U30" s="57">
        <v>0</v>
      </c>
      <c r="W30" s="63">
        <f>VLOOKUP(A:A,'[1]2w &amp; 3w'!$A:$D,4,0)</f>
        <v>62</v>
      </c>
      <c r="X30" s="63">
        <f>VLOOKUP(A:A,'[1]2w &amp; 3w'!$A:$C,3,0)</f>
        <v>0</v>
      </c>
      <c r="Y30" s="63">
        <f t="shared" si="5"/>
        <v>62</v>
      </c>
      <c r="Z30" s="46">
        <f t="shared" si="2"/>
        <v>0</v>
      </c>
      <c r="AB30" s="63">
        <f>VLOOKUP(A:A,'[1]2w &amp; 3w'!$A:$G,7,0)</f>
        <v>31</v>
      </c>
      <c r="AC30" s="63">
        <f>VLOOKUP(A:A,'[1]2w &amp; 3w'!$A:$F,6,0)</f>
        <v>2</v>
      </c>
      <c r="AD30" s="63">
        <f t="shared" si="6"/>
        <v>29</v>
      </c>
      <c r="AE30" s="46">
        <f t="shared" si="3"/>
        <v>6.4516129032258063E-2</v>
      </c>
    </row>
    <row r="31" spans="1:31" x14ac:dyDescent="0.25">
      <c r="A31" s="61" t="s">
        <v>38</v>
      </c>
      <c r="B31" s="62"/>
      <c r="C31" s="63"/>
      <c r="D31" s="62"/>
      <c r="E31" s="62"/>
      <c r="F31" s="63">
        <f>VLOOKUP(A:A,[1]Sheet1!$A:$D,4,0)</f>
        <v>17</v>
      </c>
      <c r="G31" s="63">
        <f>VLOOKUP(A:A,[1]Sheet1!$A:$C,3,0)</f>
        <v>1</v>
      </c>
      <c r="H31" s="64">
        <f>F31-G31</f>
        <v>16</v>
      </c>
      <c r="I31" s="55">
        <f>G31/F31</f>
        <v>5.8823529411764705E-2</v>
      </c>
      <c r="K31" s="65">
        <f t="shared" si="30"/>
        <v>2.04</v>
      </c>
      <c r="L31" s="63"/>
      <c r="M31" s="64">
        <f t="shared" si="4"/>
        <v>2.04</v>
      </c>
      <c r="N31" s="46">
        <f t="shared" si="1"/>
        <v>0</v>
      </c>
      <c r="P31" s="56">
        <v>0</v>
      </c>
      <c r="R31" s="57">
        <v>0</v>
      </c>
      <c r="S31" s="57">
        <v>0</v>
      </c>
      <c r="T31" s="57">
        <v>5.8823529411764705E-2</v>
      </c>
      <c r="U31" s="57">
        <v>0</v>
      </c>
      <c r="W31" s="63">
        <f>VLOOKUP(A:A,'[1]2w &amp; 3w'!$A:$D,4,0)</f>
        <v>13</v>
      </c>
      <c r="X31" s="63">
        <f>VLOOKUP(A:A,'[1]2w &amp; 3w'!$A:$C,3,0)</f>
        <v>1</v>
      </c>
      <c r="Y31" s="63">
        <f t="shared" si="5"/>
        <v>12</v>
      </c>
      <c r="Z31" s="46">
        <f t="shared" si="2"/>
        <v>7.6923076923076927E-2</v>
      </c>
      <c r="AB31" s="63">
        <f>VLOOKUP(A:A,'[1]2w &amp; 3w'!$A:$G,7,0)</f>
        <v>4</v>
      </c>
      <c r="AC31" s="63">
        <f>VLOOKUP(A:A,'[1]2w &amp; 3w'!$A:$F,6,0)</f>
        <v>0</v>
      </c>
      <c r="AD31" s="63">
        <f t="shared" si="6"/>
        <v>4</v>
      </c>
      <c r="AE31" s="46">
        <f t="shared" si="3"/>
        <v>0</v>
      </c>
    </row>
    <row r="32" spans="1:31" x14ac:dyDescent="0.25">
      <c r="A32" s="61" t="s">
        <v>39</v>
      </c>
      <c r="B32" s="62"/>
      <c r="C32" s="63">
        <v>2</v>
      </c>
      <c r="D32" s="62"/>
      <c r="E32" s="62"/>
      <c r="F32" s="63">
        <f>VLOOKUP(A:A,[1]Sheet1!$A:$D,4,0)</f>
        <v>179</v>
      </c>
      <c r="G32" s="63">
        <f>VLOOKUP(A:A,[1]Sheet1!$A:$C,3,0)</f>
        <v>19</v>
      </c>
      <c r="H32" s="64">
        <f t="shared" ref="H32" si="31">F32-G32</f>
        <v>160</v>
      </c>
      <c r="I32" s="55">
        <f>G32/F32</f>
        <v>0.10614525139664804</v>
      </c>
      <c r="K32" s="65">
        <f t="shared" si="30"/>
        <v>21.48</v>
      </c>
      <c r="L32" s="63"/>
      <c r="M32" s="64">
        <f t="shared" si="4"/>
        <v>21.48</v>
      </c>
      <c r="N32" s="46">
        <f t="shared" si="1"/>
        <v>0</v>
      </c>
      <c r="P32" s="56">
        <v>0.13333333333333333</v>
      </c>
      <c r="R32" s="57">
        <v>5.027932960893855E-2</v>
      </c>
      <c r="S32" s="57">
        <v>2.7932960893854747E-2</v>
      </c>
      <c r="T32" s="57">
        <v>2.7932960893854747E-2</v>
      </c>
      <c r="U32" s="57">
        <v>0</v>
      </c>
      <c r="W32" s="63">
        <f>VLOOKUP(A:A,'[1]2w &amp; 3w'!$A:$D,4,0)</f>
        <v>47</v>
      </c>
      <c r="X32" s="63">
        <f>VLOOKUP(A:A,'[1]2w &amp; 3w'!$A:$C,3,0)</f>
        <v>1</v>
      </c>
      <c r="Y32" s="63">
        <f t="shared" si="5"/>
        <v>46</v>
      </c>
      <c r="Z32" s="46">
        <f t="shared" si="2"/>
        <v>2.1276595744680851E-2</v>
      </c>
      <c r="AB32" s="63">
        <f>VLOOKUP(A:A,'[1]2w &amp; 3w'!$A:$G,7,0)</f>
        <v>132</v>
      </c>
      <c r="AC32" s="63">
        <f>VLOOKUP(A:A,'[1]2w &amp; 3w'!$A:$F,6,0)</f>
        <v>18</v>
      </c>
      <c r="AD32" s="63">
        <f t="shared" si="6"/>
        <v>114</v>
      </c>
      <c r="AE32" s="46">
        <f t="shared" si="3"/>
        <v>0.13636363636363635</v>
      </c>
    </row>
    <row r="33" spans="1:31" x14ac:dyDescent="0.25">
      <c r="A33" s="61" t="s">
        <v>40</v>
      </c>
      <c r="B33" s="62"/>
      <c r="C33" s="74">
        <v>1</v>
      </c>
      <c r="D33" s="62"/>
      <c r="E33" s="62"/>
      <c r="F33" s="63">
        <f>VLOOKUP(A:A,[1]Sheet1!$A:$D,4,0)</f>
        <v>142</v>
      </c>
      <c r="G33" s="63">
        <f>VLOOKUP(A:A,[1]Sheet1!$A:$C,3,0)</f>
        <v>14</v>
      </c>
      <c r="H33" s="64">
        <f>F33-G33</f>
        <v>128</v>
      </c>
      <c r="I33" s="55">
        <f>G33/F33</f>
        <v>9.8591549295774641E-2</v>
      </c>
      <c r="K33" s="65">
        <f t="shared" si="30"/>
        <v>17.04</v>
      </c>
      <c r="L33" s="63"/>
      <c r="M33" s="64">
        <f>K33-L33</f>
        <v>17.04</v>
      </c>
      <c r="N33" s="46">
        <f>L33/F33</f>
        <v>0</v>
      </c>
      <c r="P33" s="56">
        <v>0.15853658536585366</v>
      </c>
      <c r="R33" s="57">
        <v>4.9295774647887321E-2</v>
      </c>
      <c r="S33" s="57">
        <v>1.4084507042253516E-2</v>
      </c>
      <c r="T33" s="57">
        <v>2.1126760563380281E-2</v>
      </c>
      <c r="U33" s="57">
        <v>1.4084507042253521E-2</v>
      </c>
      <c r="W33" s="63">
        <f>VLOOKUP(A:A,'[1]2w &amp; 3w'!$A:$D,4,0)</f>
        <v>44</v>
      </c>
      <c r="X33" s="63">
        <f>VLOOKUP(A:A,'[1]2w &amp; 3w'!$A:$C,3,0)</f>
        <v>2</v>
      </c>
      <c r="Y33" s="63">
        <f t="shared" si="5"/>
        <v>42</v>
      </c>
      <c r="Z33" s="46">
        <f t="shared" si="2"/>
        <v>4.5454545454545456E-2</v>
      </c>
      <c r="AB33" s="63">
        <f>VLOOKUP(A:A,'[1]2w &amp; 3w'!$A:$G,7,0)</f>
        <v>98</v>
      </c>
      <c r="AC33" s="63">
        <f>VLOOKUP(A:A,'[1]2w &amp; 3w'!$A:$F,6,0)</f>
        <v>12</v>
      </c>
      <c r="AD33" s="63">
        <f t="shared" si="6"/>
        <v>86</v>
      </c>
      <c r="AE33" s="46">
        <f t="shared" si="3"/>
        <v>0.12244897959183673</v>
      </c>
    </row>
    <row r="34" spans="1:31" x14ac:dyDescent="0.25">
      <c r="A34" s="53" t="s">
        <v>41</v>
      </c>
      <c r="B34" s="53"/>
      <c r="C34" s="75">
        <f>C35+C39+C44+C50+C54+C61+C66</f>
        <v>32</v>
      </c>
      <c r="D34" s="53"/>
      <c r="E34" s="53"/>
      <c r="F34" s="54">
        <f>F35+F39+F44+F50+F54+F61+F66</f>
        <v>3471</v>
      </c>
      <c r="G34" s="54">
        <f t="shared" ref="G34:H34" si="32">G35+G39+G44+G50+G54+G61+G66</f>
        <v>502</v>
      </c>
      <c r="H34" s="54">
        <f t="shared" si="32"/>
        <v>2969</v>
      </c>
      <c r="I34" s="55">
        <f t="shared" si="0"/>
        <v>0.14462690867185249</v>
      </c>
      <c r="K34" s="54">
        <f>K35+K39+K44+K50+K54+K61+K66</f>
        <v>416.51999999999992</v>
      </c>
      <c r="L34" s="54">
        <f t="shared" ref="L34:M34" si="33">L35+L39+L44+L50+L54+L61+L66</f>
        <v>0</v>
      </c>
      <c r="M34" s="54">
        <f t="shared" si="33"/>
        <v>416.51999999999992</v>
      </c>
      <c r="N34" s="46">
        <f t="shared" si="1"/>
        <v>0</v>
      </c>
      <c r="P34" s="56">
        <v>0.15698924731182795</v>
      </c>
      <c r="R34" s="57">
        <v>6.7703831748775561E-2</v>
      </c>
      <c r="S34" s="57">
        <v>2.6217228464419477E-2</v>
      </c>
      <c r="T34" s="57">
        <v>1.8150388936905792E-2</v>
      </c>
      <c r="U34" s="57">
        <v>3.2555459521751658E-2</v>
      </c>
      <c r="W34" s="54">
        <f>W35+W39+W44+W50+W54+W61+W66</f>
        <v>1632</v>
      </c>
      <c r="X34" s="54">
        <f t="shared" ref="X34:Y34" si="34">X35+X39+X44+X50+X54+X61+X66</f>
        <v>176</v>
      </c>
      <c r="Y34" s="54">
        <f t="shared" si="34"/>
        <v>1456</v>
      </c>
      <c r="Z34" s="46">
        <f t="shared" si="2"/>
        <v>0.10784313725490197</v>
      </c>
      <c r="AB34" s="54">
        <f>AB35+AB39+AB44+AB50+AB54+AB61+AB66</f>
        <v>1839</v>
      </c>
      <c r="AC34" s="54">
        <f t="shared" ref="AC34:AD34" si="35">AC35+AC39+AC44+AC50+AC54+AC61+AC66</f>
        <v>326</v>
      </c>
      <c r="AD34" s="54">
        <f t="shared" si="35"/>
        <v>1513</v>
      </c>
      <c r="AE34" s="46">
        <f t="shared" si="3"/>
        <v>0.17727025557368134</v>
      </c>
    </row>
    <row r="35" spans="1:31" x14ac:dyDescent="0.25">
      <c r="A35" s="58" t="s">
        <v>42</v>
      </c>
      <c r="B35" s="59"/>
      <c r="C35" s="66">
        <f>SUM(C36:C38)</f>
        <v>4</v>
      </c>
      <c r="D35" s="59"/>
      <c r="E35" s="59"/>
      <c r="F35" s="60">
        <f>SUM(F36:F38)</f>
        <v>563</v>
      </c>
      <c r="G35" s="60">
        <f>SUM(G36:G38)</f>
        <v>62</v>
      </c>
      <c r="H35" s="60">
        <f>SUM(H36:H38)</f>
        <v>501</v>
      </c>
      <c r="I35" s="55">
        <f t="shared" si="0"/>
        <v>0.11012433392539965</v>
      </c>
      <c r="K35" s="60">
        <f>SUM(K36:K38)</f>
        <v>67.56</v>
      </c>
      <c r="L35" s="60">
        <f>SUM(L36:L38)</f>
        <v>0</v>
      </c>
      <c r="M35" s="60">
        <f>SUM(M36:M38)</f>
        <v>67.56</v>
      </c>
      <c r="N35" s="46">
        <f t="shared" si="1"/>
        <v>0</v>
      </c>
      <c r="P35" s="56">
        <v>0.14681892332789559</v>
      </c>
      <c r="R35" s="57">
        <v>5.3285968028419187E-2</v>
      </c>
      <c r="S35" s="57">
        <v>2.4866785079928955E-2</v>
      </c>
      <c r="T35" s="57">
        <v>1.5985790408525755E-2</v>
      </c>
      <c r="U35" s="57">
        <v>1.5985790408525755E-2</v>
      </c>
      <c r="W35" s="60">
        <f>SUM(W36:W38)</f>
        <v>462</v>
      </c>
      <c r="X35" s="60">
        <f>SUM(X36:X38)</f>
        <v>51</v>
      </c>
      <c r="Y35" s="60">
        <f>SUM(Y36:Y38)</f>
        <v>411</v>
      </c>
      <c r="Z35" s="46">
        <f t="shared" si="2"/>
        <v>0.11038961038961038</v>
      </c>
      <c r="AB35" s="60">
        <f>SUM(AB36:AB38)</f>
        <v>101</v>
      </c>
      <c r="AC35" s="60">
        <f>SUM(AC36:AC38)</f>
        <v>11</v>
      </c>
      <c r="AD35" s="60">
        <f>SUM(AD36:AD38)</f>
        <v>90</v>
      </c>
      <c r="AE35" s="46">
        <f t="shared" si="3"/>
        <v>0.10891089108910891</v>
      </c>
    </row>
    <row r="36" spans="1:31" x14ac:dyDescent="0.25">
      <c r="A36" s="61" t="s">
        <v>43</v>
      </c>
      <c r="B36" s="62"/>
      <c r="C36" s="63">
        <v>2</v>
      </c>
      <c r="D36" s="63"/>
      <c r="E36" s="63"/>
      <c r="F36" s="63">
        <f>VLOOKUP(A:A,[1]Sheet1!$A:$D,4,0)</f>
        <v>201</v>
      </c>
      <c r="G36" s="63">
        <f>VLOOKUP(A:A,[1]Sheet1!$A:$C,3,0)</f>
        <v>30</v>
      </c>
      <c r="H36" s="64">
        <f t="shared" ref="H36:H38" si="36">F36-G36</f>
        <v>171</v>
      </c>
      <c r="I36" s="55">
        <f t="shared" si="0"/>
        <v>0.14925373134328357</v>
      </c>
      <c r="K36" s="65">
        <f t="shared" ref="K36:K38" si="37">F36*12/100</f>
        <v>24.12</v>
      </c>
      <c r="L36" s="63"/>
      <c r="M36" s="64">
        <f t="shared" si="4"/>
        <v>24.12</v>
      </c>
      <c r="N36" s="46">
        <f t="shared" si="1"/>
        <v>0</v>
      </c>
      <c r="P36" s="56">
        <v>0.15094339622641509</v>
      </c>
      <c r="R36" s="57">
        <v>6.4676616915422869E-2</v>
      </c>
      <c r="S36" s="57">
        <v>3.482587064676617E-2</v>
      </c>
      <c r="T36" s="57">
        <v>2.4875621890547265E-2</v>
      </c>
      <c r="U36" s="57">
        <v>2.4875621890547265E-2</v>
      </c>
      <c r="W36" s="63">
        <f>VLOOKUP(A:A,'[1]2w &amp; 3w'!$A:$D,4,0)</f>
        <v>172</v>
      </c>
      <c r="X36" s="63">
        <f>VLOOKUP(A:A,'[1]2w &amp; 3w'!$A:$C,3,0)</f>
        <v>25</v>
      </c>
      <c r="Y36" s="63">
        <f t="shared" si="5"/>
        <v>147</v>
      </c>
      <c r="Z36" s="46">
        <f t="shared" si="2"/>
        <v>0.14534883720930233</v>
      </c>
      <c r="AB36" s="63">
        <f>VLOOKUP(A:A,'[1]2w &amp; 3w'!$A:$G,7,0)</f>
        <v>29</v>
      </c>
      <c r="AC36" s="63">
        <f>VLOOKUP(A:A,'[1]2w &amp; 3w'!$A:$F,6,0)</f>
        <v>5</v>
      </c>
      <c r="AD36" s="63">
        <f t="shared" si="6"/>
        <v>24</v>
      </c>
      <c r="AE36" s="46">
        <f t="shared" si="3"/>
        <v>0.17241379310344829</v>
      </c>
    </row>
    <row r="37" spans="1:31" x14ac:dyDescent="0.25">
      <c r="A37" s="61" t="s">
        <v>44</v>
      </c>
      <c r="B37" s="62" t="s">
        <v>45</v>
      </c>
      <c r="C37" s="63">
        <v>1</v>
      </c>
      <c r="D37" s="63"/>
      <c r="F37" s="63">
        <f>VLOOKUP(A:A,[1]Sheet1!$A:$D,4,0)</f>
        <v>118</v>
      </c>
      <c r="G37" s="63">
        <f>VLOOKUP(A:A,[1]Sheet1!$A:$C,3,0)</f>
        <v>14</v>
      </c>
      <c r="H37" s="64">
        <f t="shared" si="36"/>
        <v>104</v>
      </c>
      <c r="I37" s="55">
        <f t="shared" si="0"/>
        <v>0.11864406779661017</v>
      </c>
      <c r="K37" s="65">
        <f t="shared" si="37"/>
        <v>14.16</v>
      </c>
      <c r="L37" s="63"/>
      <c r="M37" s="64">
        <f t="shared" si="4"/>
        <v>14.16</v>
      </c>
      <c r="N37" s="46">
        <f t="shared" si="1"/>
        <v>0</v>
      </c>
      <c r="P37" s="56">
        <v>0.15384615384615385</v>
      </c>
      <c r="R37" s="57">
        <v>5.0847457627118647E-2</v>
      </c>
      <c r="S37" s="57">
        <v>4.2372881355932202E-2</v>
      </c>
      <c r="T37" s="57">
        <v>8.4745762711864424E-3</v>
      </c>
      <c r="U37" s="57">
        <v>1.6949152542372881E-2</v>
      </c>
      <c r="W37" s="63">
        <f>VLOOKUP(A:A,'[1]2w &amp; 3w'!$A:$D,4,0)</f>
        <v>94</v>
      </c>
      <c r="X37" s="63">
        <f>VLOOKUP(A:A,'[1]2w &amp; 3w'!$A:$C,3,0)</f>
        <v>11</v>
      </c>
      <c r="Y37" s="63">
        <f t="shared" si="5"/>
        <v>83</v>
      </c>
      <c r="Z37" s="46">
        <f t="shared" si="2"/>
        <v>0.11702127659574468</v>
      </c>
      <c r="AB37" s="63">
        <f>VLOOKUP(A:A,'[1]2w &amp; 3w'!$A:$G,7,0)</f>
        <v>24</v>
      </c>
      <c r="AC37" s="63">
        <f>VLOOKUP(A:A,'[1]2w &amp; 3w'!$A:$F,6,0)</f>
        <v>3</v>
      </c>
      <c r="AD37" s="63">
        <f t="shared" si="6"/>
        <v>21</v>
      </c>
      <c r="AE37" s="46">
        <f t="shared" si="3"/>
        <v>0.125</v>
      </c>
    </row>
    <row r="38" spans="1:31" x14ac:dyDescent="0.25">
      <c r="A38" s="61" t="s">
        <v>46</v>
      </c>
      <c r="B38" s="62"/>
      <c r="C38" s="63">
        <v>1</v>
      </c>
      <c r="D38" s="63"/>
      <c r="E38" s="62"/>
      <c r="F38" s="63">
        <f>VLOOKUP(A:A,[1]Sheet1!$A:$D,4,0)</f>
        <v>244</v>
      </c>
      <c r="G38" s="63">
        <f>VLOOKUP(A:A,[1]Sheet1!$A:$C,3,0)</f>
        <v>18</v>
      </c>
      <c r="H38" s="64">
        <f t="shared" si="36"/>
        <v>226</v>
      </c>
      <c r="I38" s="55">
        <f>G38/F38</f>
        <v>7.3770491803278687E-2</v>
      </c>
      <c r="K38" s="65">
        <f t="shared" si="37"/>
        <v>29.28</v>
      </c>
      <c r="L38" s="63"/>
      <c r="M38" s="64">
        <f t="shared" si="4"/>
        <v>29.28</v>
      </c>
      <c r="N38" s="46">
        <f t="shared" si="1"/>
        <v>0</v>
      </c>
      <c r="P38" s="56">
        <v>0.13793103448275862</v>
      </c>
      <c r="R38" s="57">
        <v>4.5081967213114749E-2</v>
      </c>
      <c r="S38" s="57">
        <v>8.196721311475412E-3</v>
      </c>
      <c r="T38" s="57">
        <v>1.2295081967213113E-2</v>
      </c>
      <c r="U38" s="57">
        <v>8.1967213114754103E-3</v>
      </c>
      <c r="W38" s="63">
        <f>VLOOKUP(A:A,'[1]2w &amp; 3w'!$A:$D,4,0)</f>
        <v>196</v>
      </c>
      <c r="X38" s="63">
        <f>VLOOKUP(A:A,'[1]2w &amp; 3w'!$A:$C,3,0)</f>
        <v>15</v>
      </c>
      <c r="Y38" s="63">
        <f t="shared" si="5"/>
        <v>181</v>
      </c>
      <c r="Z38" s="46">
        <f t="shared" si="2"/>
        <v>7.6530612244897961E-2</v>
      </c>
      <c r="AB38" s="63">
        <f>VLOOKUP(A:A,'[1]2w &amp; 3w'!$A:$G,7,0)</f>
        <v>48</v>
      </c>
      <c r="AC38" s="63">
        <f>VLOOKUP(A:A,'[1]2w &amp; 3w'!$A:$F,6,0)</f>
        <v>3</v>
      </c>
      <c r="AD38" s="63">
        <f t="shared" si="6"/>
        <v>45</v>
      </c>
      <c r="AE38" s="46">
        <f t="shared" si="3"/>
        <v>6.25E-2</v>
      </c>
    </row>
    <row r="39" spans="1:31" x14ac:dyDescent="0.25">
      <c r="A39" s="58" t="s">
        <v>47</v>
      </c>
      <c r="B39" s="59"/>
      <c r="C39" s="66">
        <f t="shared" ref="C39" si="38">SUM(C40:C43)</f>
        <v>3</v>
      </c>
      <c r="D39" s="59"/>
      <c r="E39" s="59"/>
      <c r="F39" s="60">
        <f>SUM(F40:F43)</f>
        <v>485</v>
      </c>
      <c r="G39" s="60">
        <f t="shared" ref="G39:H39" si="39">SUM(G40:G43)</f>
        <v>67</v>
      </c>
      <c r="H39" s="60">
        <f t="shared" si="39"/>
        <v>418</v>
      </c>
      <c r="I39" s="55">
        <f t="shared" si="0"/>
        <v>0.13814432989690723</v>
      </c>
      <c r="K39" s="60">
        <f>SUM(K40:K43)</f>
        <v>58.199999999999996</v>
      </c>
      <c r="L39" s="60">
        <f t="shared" ref="L39:M39" si="40">SUM(L40:L43)</f>
        <v>0</v>
      </c>
      <c r="M39" s="60">
        <f t="shared" si="40"/>
        <v>58.199999999999996</v>
      </c>
      <c r="N39" s="46">
        <f t="shared" si="1"/>
        <v>0</v>
      </c>
      <c r="P39" s="56">
        <v>0.15135135135135136</v>
      </c>
      <c r="R39" s="57">
        <v>5.97938144329897E-2</v>
      </c>
      <c r="S39" s="57">
        <v>2.6804123711340208E-2</v>
      </c>
      <c r="T39" s="57">
        <v>1.2371134020618554E-2</v>
      </c>
      <c r="U39" s="57">
        <v>3.9175257731958762E-2</v>
      </c>
      <c r="W39" s="60">
        <f>SUM(W40:W43)</f>
        <v>280</v>
      </c>
      <c r="X39" s="60">
        <f t="shared" ref="X39:Y39" si="41">SUM(X40:X43)</f>
        <v>39</v>
      </c>
      <c r="Y39" s="60">
        <f t="shared" si="41"/>
        <v>241</v>
      </c>
      <c r="Z39" s="46">
        <f t="shared" si="2"/>
        <v>0.13928571428571429</v>
      </c>
      <c r="AB39" s="60">
        <f>SUM(AB40:AB43)</f>
        <v>205</v>
      </c>
      <c r="AC39" s="60">
        <f t="shared" ref="AC39:AD39" si="42">SUM(AC40:AC43)</f>
        <v>28</v>
      </c>
      <c r="AD39" s="60">
        <f t="shared" si="42"/>
        <v>177</v>
      </c>
      <c r="AE39" s="46">
        <f t="shared" si="3"/>
        <v>0.13658536585365855</v>
      </c>
    </row>
    <row r="40" spans="1:31" x14ac:dyDescent="0.25">
      <c r="A40" s="61" t="s">
        <v>48</v>
      </c>
      <c r="B40" s="62"/>
      <c r="C40" s="63"/>
      <c r="D40" s="62"/>
      <c r="E40" s="62"/>
      <c r="F40" s="63">
        <f>VLOOKUP(A:A,[1]Sheet1!$A:$D,4,0)</f>
        <v>6</v>
      </c>
      <c r="G40" s="63">
        <f>VLOOKUP(A:A,[1]Sheet1!$A:$C,3,0)</f>
        <v>0</v>
      </c>
      <c r="H40" s="64">
        <f t="shared" ref="H40:H43" si="43">F40-G40</f>
        <v>6</v>
      </c>
      <c r="I40" s="55">
        <f t="shared" si="0"/>
        <v>0</v>
      </c>
      <c r="K40" s="65">
        <f t="shared" ref="K40:K43" si="44">F40*12/100</f>
        <v>0.72</v>
      </c>
      <c r="L40" s="63"/>
      <c r="M40" s="64">
        <f t="shared" si="4"/>
        <v>0.72</v>
      </c>
      <c r="N40" s="46">
        <f t="shared" si="1"/>
        <v>0</v>
      </c>
      <c r="P40" s="56">
        <v>0</v>
      </c>
      <c r="R40" s="57">
        <v>0</v>
      </c>
      <c r="S40" s="57">
        <v>0</v>
      </c>
      <c r="T40" s="57">
        <v>0</v>
      </c>
      <c r="U40" s="57">
        <v>0</v>
      </c>
      <c r="W40" s="63">
        <f>VLOOKUP(A:A,'[1]2w &amp; 3w'!$A:$D,4,0)</f>
        <v>5</v>
      </c>
      <c r="X40" s="63">
        <f>VLOOKUP(A:A,'[1]2w &amp; 3w'!$A:$C,3,0)</f>
        <v>0</v>
      </c>
      <c r="Y40" s="63">
        <f t="shared" si="5"/>
        <v>5</v>
      </c>
      <c r="Z40" s="46">
        <f t="shared" si="2"/>
        <v>0</v>
      </c>
      <c r="AB40" s="63">
        <f>VLOOKUP(A:A,'[1]2w &amp; 3w'!$A:$G,7,0)</f>
        <v>1</v>
      </c>
      <c r="AC40" s="63">
        <f>VLOOKUP(A:A,'[1]2w &amp; 3w'!$A:$F,6,0)</f>
        <v>0</v>
      </c>
      <c r="AD40" s="63">
        <f t="shared" si="6"/>
        <v>1</v>
      </c>
      <c r="AE40" s="46">
        <f t="shared" si="3"/>
        <v>0</v>
      </c>
    </row>
    <row r="41" spans="1:31" x14ac:dyDescent="0.25">
      <c r="A41" s="61" t="s">
        <v>49</v>
      </c>
      <c r="B41" s="62"/>
      <c r="C41" s="63"/>
      <c r="D41" s="62" t="s">
        <v>50</v>
      </c>
      <c r="E41" s="62"/>
      <c r="F41" s="63">
        <f>VLOOKUP(A:A,[1]Sheet1!$A:$D,4,0)</f>
        <v>104</v>
      </c>
      <c r="G41" s="63">
        <f>VLOOKUP(A:A,[1]Sheet1!$A:$C,3,0)</f>
        <v>18</v>
      </c>
      <c r="H41" s="64">
        <f t="shared" si="43"/>
        <v>86</v>
      </c>
      <c r="I41" s="55">
        <f t="shared" si="0"/>
        <v>0.17307692307692307</v>
      </c>
      <c r="K41" s="65">
        <f t="shared" si="44"/>
        <v>12.48</v>
      </c>
      <c r="L41" s="63"/>
      <c r="M41" s="64">
        <f t="shared" si="4"/>
        <v>12.48</v>
      </c>
      <c r="N41" s="46">
        <f t="shared" si="1"/>
        <v>0</v>
      </c>
      <c r="P41" s="56">
        <v>0.16666666666666666</v>
      </c>
      <c r="R41" s="57">
        <v>4.8076923076923073E-2</v>
      </c>
      <c r="S41" s="57">
        <v>1.9230769230769232E-2</v>
      </c>
      <c r="T41" s="57">
        <v>9.615384615384609E-3</v>
      </c>
      <c r="U41" s="57">
        <v>9.6153846153846159E-2</v>
      </c>
      <c r="W41" s="63">
        <f>VLOOKUP(A:A,'[1]2w &amp; 3w'!$A:$D,4,0)</f>
        <v>102</v>
      </c>
      <c r="X41" s="63">
        <f>VLOOKUP(A:A,'[1]2w &amp; 3w'!$A:$C,3,0)</f>
        <v>17</v>
      </c>
      <c r="Y41" s="63">
        <f t="shared" si="5"/>
        <v>85</v>
      </c>
      <c r="Z41" s="46">
        <f t="shared" si="2"/>
        <v>0.16666666666666666</v>
      </c>
      <c r="AB41" s="63">
        <f>VLOOKUP(A:A,'[1]2w &amp; 3w'!$A:$G,7,0)</f>
        <v>2</v>
      </c>
      <c r="AC41" s="63">
        <f>VLOOKUP(A:A,'[1]2w &amp; 3w'!$A:$F,6,0)</f>
        <v>1</v>
      </c>
      <c r="AD41" s="63">
        <f t="shared" si="6"/>
        <v>1</v>
      </c>
      <c r="AE41" s="46">
        <f t="shared" si="3"/>
        <v>0.5</v>
      </c>
    </row>
    <row r="42" spans="1:31" x14ac:dyDescent="0.25">
      <c r="A42" s="61" t="s">
        <v>51</v>
      </c>
      <c r="B42" s="62"/>
      <c r="C42" s="63">
        <v>1</v>
      </c>
      <c r="D42" s="62"/>
      <c r="E42" s="62"/>
      <c r="F42" s="63">
        <f>VLOOKUP(A:A,[1]Sheet1!$A:$D,4,0)</f>
        <v>107</v>
      </c>
      <c r="G42" s="63">
        <f>VLOOKUP(A:A,[1]Sheet1!$A:$C,3,0)</f>
        <v>15</v>
      </c>
      <c r="H42" s="64">
        <f t="shared" si="43"/>
        <v>92</v>
      </c>
      <c r="I42" s="55">
        <f t="shared" si="0"/>
        <v>0.14018691588785046</v>
      </c>
      <c r="K42" s="65">
        <f t="shared" si="44"/>
        <v>12.84</v>
      </c>
      <c r="L42" s="63"/>
      <c r="M42" s="64">
        <f t="shared" si="4"/>
        <v>12.84</v>
      </c>
      <c r="N42" s="46">
        <f t="shared" si="1"/>
        <v>0</v>
      </c>
      <c r="P42" s="56">
        <v>0.10294117647058823</v>
      </c>
      <c r="R42" s="57">
        <v>6.5420560747663545E-2</v>
      </c>
      <c r="S42" s="57">
        <v>4.6728971962616814E-2</v>
      </c>
      <c r="T42" s="57">
        <v>9.3457943925233655E-3</v>
      </c>
      <c r="U42" s="57">
        <v>1.8691588785046728E-2</v>
      </c>
      <c r="W42" s="63">
        <f>VLOOKUP(A:A,'[1]2w &amp; 3w'!$A:$D,4,0)</f>
        <v>96</v>
      </c>
      <c r="X42" s="63">
        <f>VLOOKUP(A:A,'[1]2w &amp; 3w'!$A:$C,3,0)</f>
        <v>15</v>
      </c>
      <c r="Y42" s="63">
        <f t="shared" si="5"/>
        <v>81</v>
      </c>
      <c r="Z42" s="46">
        <f t="shared" si="2"/>
        <v>0.15625</v>
      </c>
      <c r="AB42" s="63">
        <f>VLOOKUP(A:A,'[1]2w &amp; 3w'!$A:$G,7,0)</f>
        <v>11</v>
      </c>
      <c r="AC42" s="63">
        <f>VLOOKUP(A:A,'[1]2w &amp; 3w'!$A:$F,6,0)</f>
        <v>0</v>
      </c>
      <c r="AD42" s="63">
        <f t="shared" si="6"/>
        <v>11</v>
      </c>
      <c r="AE42" s="46">
        <f t="shared" si="3"/>
        <v>0</v>
      </c>
    </row>
    <row r="43" spans="1:31" x14ac:dyDescent="0.25">
      <c r="A43" s="61" t="s">
        <v>52</v>
      </c>
      <c r="B43" s="62"/>
      <c r="C43" s="63">
        <v>2</v>
      </c>
      <c r="D43" s="62"/>
      <c r="E43" s="62"/>
      <c r="F43" s="63">
        <f>VLOOKUP(A:A,[1]Sheet1!$A:$D,4,0)</f>
        <v>268</v>
      </c>
      <c r="G43" s="63">
        <f>VLOOKUP(A:A,[1]Sheet1!$A:$C,3,0)</f>
        <v>34</v>
      </c>
      <c r="H43" s="64">
        <f t="shared" si="43"/>
        <v>234</v>
      </c>
      <c r="I43" s="55">
        <f>G43/F43</f>
        <v>0.12686567164179105</v>
      </c>
      <c r="K43" s="65">
        <f t="shared" si="44"/>
        <v>32.159999999999997</v>
      </c>
      <c r="L43" s="63"/>
      <c r="M43" s="64">
        <f t="shared" si="4"/>
        <v>32.159999999999997</v>
      </c>
      <c r="N43" s="46">
        <f t="shared" si="1"/>
        <v>0</v>
      </c>
      <c r="P43" s="56">
        <v>0.17164179104477612</v>
      </c>
      <c r="R43" s="57">
        <v>6.3432835820895525E-2</v>
      </c>
      <c r="S43" s="57">
        <v>2.2388059701492539E-2</v>
      </c>
      <c r="T43" s="57">
        <v>1.492537313432836E-2</v>
      </c>
      <c r="U43" s="57">
        <v>2.6119402985074626E-2</v>
      </c>
      <c r="W43" s="63">
        <f>VLOOKUP(A:A,'[1]2w &amp; 3w'!$A:$D,4,0)</f>
        <v>77</v>
      </c>
      <c r="X43" s="63">
        <f>VLOOKUP(A:A,'[1]2w &amp; 3w'!$A:$C,3,0)</f>
        <v>7</v>
      </c>
      <c r="Y43" s="63">
        <f t="shared" si="5"/>
        <v>70</v>
      </c>
      <c r="Z43" s="46">
        <f t="shared" si="2"/>
        <v>9.0909090909090912E-2</v>
      </c>
      <c r="AB43" s="63">
        <f>VLOOKUP(A:A,'[1]2w &amp; 3w'!$A:$G,7,0)</f>
        <v>191</v>
      </c>
      <c r="AC43" s="63">
        <f>VLOOKUP(A:A,'[1]2w &amp; 3w'!$A:$F,6,0)</f>
        <v>27</v>
      </c>
      <c r="AD43" s="63">
        <f t="shared" si="6"/>
        <v>164</v>
      </c>
      <c r="AE43" s="46">
        <f t="shared" si="3"/>
        <v>0.14136125654450263</v>
      </c>
    </row>
    <row r="44" spans="1:31" x14ac:dyDescent="0.25">
      <c r="A44" s="58" t="s">
        <v>53</v>
      </c>
      <c r="B44" s="59"/>
      <c r="C44" s="66">
        <f>SUM(C45:C49)</f>
        <v>6</v>
      </c>
      <c r="D44" s="59"/>
      <c r="E44" s="59"/>
      <c r="F44" s="60">
        <f t="shared" ref="F44:H44" si="45">SUM(F45:F49)</f>
        <v>656</v>
      </c>
      <c r="G44" s="60">
        <f t="shared" si="45"/>
        <v>116</v>
      </c>
      <c r="H44" s="60">
        <f t="shared" si="45"/>
        <v>540</v>
      </c>
      <c r="I44" s="55">
        <f t="shared" si="0"/>
        <v>0.17682926829268292</v>
      </c>
      <c r="K44" s="60">
        <f t="shared" ref="K44:M44" si="46">SUM(K45:K49)</f>
        <v>78.72</v>
      </c>
      <c r="L44" s="60">
        <f t="shared" si="46"/>
        <v>0</v>
      </c>
      <c r="M44" s="60">
        <f t="shared" si="46"/>
        <v>78.72</v>
      </c>
      <c r="N44" s="46">
        <f t="shared" si="1"/>
        <v>0</v>
      </c>
      <c r="P44" s="56">
        <v>0.18048780487804877</v>
      </c>
      <c r="R44" s="57">
        <v>8.3841463414634138E-2</v>
      </c>
      <c r="S44" s="57">
        <v>3.048780487804878E-2</v>
      </c>
      <c r="T44" s="57">
        <v>2.2865853658536585E-2</v>
      </c>
      <c r="U44" s="57">
        <v>3.9634146341463415E-2</v>
      </c>
      <c r="W44" s="60">
        <f t="shared" ref="W44:Y44" si="47">SUM(W45:W49)</f>
        <v>85</v>
      </c>
      <c r="X44" s="60">
        <f t="shared" si="47"/>
        <v>4</v>
      </c>
      <c r="Y44" s="60">
        <f t="shared" si="47"/>
        <v>81</v>
      </c>
      <c r="Z44" s="46">
        <f t="shared" si="2"/>
        <v>4.7058823529411764E-2</v>
      </c>
      <c r="AB44" s="60">
        <f t="shared" ref="AB44:AD44" si="48">SUM(AB45:AB49)</f>
        <v>571</v>
      </c>
      <c r="AC44" s="60">
        <f t="shared" si="48"/>
        <v>112</v>
      </c>
      <c r="AD44" s="60">
        <f t="shared" si="48"/>
        <v>459</v>
      </c>
      <c r="AE44" s="46">
        <f t="shared" si="3"/>
        <v>0.19614711033274956</v>
      </c>
    </row>
    <row r="45" spans="1:31" x14ac:dyDescent="0.25">
      <c r="A45" s="61" t="s">
        <v>54</v>
      </c>
      <c r="B45" s="62"/>
      <c r="C45" s="63">
        <v>2</v>
      </c>
      <c r="D45" s="62"/>
      <c r="E45" s="62"/>
      <c r="F45" s="63">
        <f>VLOOKUP(A:A,[1]Sheet1!$A:$D,4,0)</f>
        <v>192</v>
      </c>
      <c r="G45" s="63">
        <f>VLOOKUP(A:A,[1]Sheet1!$A:$C,3,0)</f>
        <v>36</v>
      </c>
      <c r="H45" s="64">
        <f t="shared" ref="H45:H48" si="49">F45-G45</f>
        <v>156</v>
      </c>
      <c r="I45" s="55">
        <f t="shared" si="0"/>
        <v>0.1875</v>
      </c>
      <c r="K45" s="65">
        <f t="shared" ref="K45:K49" si="50">F45*12/100</f>
        <v>23.04</v>
      </c>
      <c r="L45" s="63"/>
      <c r="M45" s="64">
        <f t="shared" si="4"/>
        <v>23.04</v>
      </c>
      <c r="N45" s="46">
        <f t="shared" si="1"/>
        <v>0</v>
      </c>
      <c r="P45" s="56">
        <v>0.14583333333333334</v>
      </c>
      <c r="R45" s="57">
        <v>7.8125E-2</v>
      </c>
      <c r="S45" s="57">
        <v>2.0833333333333329E-2</v>
      </c>
      <c r="T45" s="57">
        <v>4.1666666666666671E-2</v>
      </c>
      <c r="U45" s="57">
        <v>4.6875E-2</v>
      </c>
      <c r="W45" s="63">
        <f>VLOOKUP(A:A,'[1]2w &amp; 3w'!$A:$D,4,0)</f>
        <v>19</v>
      </c>
      <c r="X45" s="63">
        <f>VLOOKUP(A:A,'[1]2w &amp; 3w'!$A:$C,3,0)</f>
        <v>0</v>
      </c>
      <c r="Y45" s="63">
        <f t="shared" si="5"/>
        <v>19</v>
      </c>
      <c r="Z45" s="46">
        <f t="shared" si="2"/>
        <v>0</v>
      </c>
      <c r="AB45" s="63">
        <f>VLOOKUP(A:A,'[1]2w &amp; 3w'!$A:$G,7,0)</f>
        <v>173</v>
      </c>
      <c r="AC45" s="63">
        <f>VLOOKUP(A:A,'[1]2w &amp; 3w'!$A:$F,6,0)</f>
        <v>36</v>
      </c>
      <c r="AD45" s="63">
        <f t="shared" si="6"/>
        <v>137</v>
      </c>
      <c r="AE45" s="46">
        <f t="shared" si="3"/>
        <v>0.20809248554913296</v>
      </c>
    </row>
    <row r="46" spans="1:31" x14ac:dyDescent="0.25">
      <c r="A46" s="61" t="s">
        <v>55</v>
      </c>
      <c r="B46" s="62"/>
      <c r="C46" s="63">
        <v>1</v>
      </c>
      <c r="D46" s="62"/>
      <c r="E46" s="62"/>
      <c r="F46" s="63">
        <f>VLOOKUP(A:A,[1]Sheet1!$A:$D,4,0)</f>
        <v>99</v>
      </c>
      <c r="G46" s="63">
        <f>VLOOKUP(A:A,[1]Sheet1!$A:$C,3,0)</f>
        <v>17</v>
      </c>
      <c r="H46" s="64">
        <f t="shared" si="49"/>
        <v>82</v>
      </c>
      <c r="I46" s="55">
        <f t="shared" si="0"/>
        <v>0.17171717171717171</v>
      </c>
      <c r="K46" s="65">
        <f t="shared" si="50"/>
        <v>11.88</v>
      </c>
      <c r="L46" s="63"/>
      <c r="M46" s="64">
        <f t="shared" si="4"/>
        <v>11.88</v>
      </c>
      <c r="N46" s="46">
        <f t="shared" si="1"/>
        <v>0</v>
      </c>
      <c r="P46" s="56">
        <v>0.19879518072289157</v>
      </c>
      <c r="R46" s="57">
        <v>0.1111111111111111</v>
      </c>
      <c r="S46" s="57">
        <v>2.02020202020202E-2</v>
      </c>
      <c r="T46" s="57">
        <v>1.0101010101010104E-2</v>
      </c>
      <c r="U46" s="57">
        <v>3.0303030303030304E-2</v>
      </c>
      <c r="W46" s="63">
        <f>VLOOKUP(A:A,'[1]2w &amp; 3w'!$A:$D,4,0)</f>
        <v>1</v>
      </c>
      <c r="X46" s="63">
        <f>VLOOKUP(A:A,'[1]2w &amp; 3w'!$A:$C,3,0)</f>
        <v>0</v>
      </c>
      <c r="Y46" s="63">
        <f t="shared" si="5"/>
        <v>1</v>
      </c>
      <c r="Z46" s="46">
        <f t="shared" si="2"/>
        <v>0</v>
      </c>
      <c r="AB46" s="63">
        <f>VLOOKUP(A:A,'[1]2w &amp; 3w'!$A:$G,7,0)</f>
        <v>98</v>
      </c>
      <c r="AC46" s="63">
        <f>VLOOKUP(A:A,'[1]2w &amp; 3w'!$A:$F,6,0)</f>
        <v>17</v>
      </c>
      <c r="AD46" s="63">
        <f t="shared" si="6"/>
        <v>81</v>
      </c>
      <c r="AE46" s="46">
        <f t="shared" si="3"/>
        <v>0.17346938775510204</v>
      </c>
    </row>
    <row r="47" spans="1:31" x14ac:dyDescent="0.25">
      <c r="A47" s="61" t="s">
        <v>56</v>
      </c>
      <c r="B47" s="62"/>
      <c r="C47" s="63">
        <v>1</v>
      </c>
      <c r="D47" s="62"/>
      <c r="E47" s="62"/>
      <c r="F47" s="63">
        <f>VLOOKUP(A:A,[1]Sheet1!$A:$D,4,0)</f>
        <v>144</v>
      </c>
      <c r="G47" s="63">
        <f>VLOOKUP(A:A,[1]Sheet1!$A:$C,3,0)</f>
        <v>22</v>
      </c>
      <c r="H47" s="64">
        <f t="shared" si="49"/>
        <v>122</v>
      </c>
      <c r="I47" s="55">
        <f t="shared" si="0"/>
        <v>0.15277777777777779</v>
      </c>
      <c r="K47" s="65">
        <f t="shared" si="50"/>
        <v>17.28</v>
      </c>
      <c r="L47" s="63"/>
      <c r="M47" s="64">
        <f t="shared" si="4"/>
        <v>17.28</v>
      </c>
      <c r="N47" s="46">
        <f t="shared" si="1"/>
        <v>0</v>
      </c>
      <c r="P47" s="56">
        <v>0.21666666666666667</v>
      </c>
      <c r="R47" s="57">
        <v>8.3333333333333343E-2</v>
      </c>
      <c r="S47" s="57">
        <v>2.7777777777777783E-2</v>
      </c>
      <c r="T47" s="57">
        <v>6.9444444444444406E-3</v>
      </c>
      <c r="U47" s="57">
        <v>3.4722222222222224E-2</v>
      </c>
      <c r="W47" s="63">
        <f>VLOOKUP(A:A,'[1]2w &amp; 3w'!$A:$D,4,0)</f>
        <v>22</v>
      </c>
      <c r="X47" s="63">
        <f>VLOOKUP(A:A,'[1]2w &amp; 3w'!$A:$C,3,0)</f>
        <v>0</v>
      </c>
      <c r="Y47" s="63">
        <f t="shared" si="5"/>
        <v>22</v>
      </c>
      <c r="Z47" s="46">
        <f t="shared" si="2"/>
        <v>0</v>
      </c>
      <c r="AB47" s="63">
        <f>VLOOKUP(A:A,'[1]2w &amp; 3w'!$A:$G,7,0)</f>
        <v>122</v>
      </c>
      <c r="AC47" s="63">
        <f>VLOOKUP(A:A,'[1]2w &amp; 3w'!$A:$F,6,0)</f>
        <v>22</v>
      </c>
      <c r="AD47" s="63">
        <f t="shared" si="6"/>
        <v>100</v>
      </c>
      <c r="AE47" s="46">
        <f t="shared" si="3"/>
        <v>0.18032786885245902</v>
      </c>
    </row>
    <row r="48" spans="1:31" x14ac:dyDescent="0.25">
      <c r="A48" s="61" t="s">
        <v>57</v>
      </c>
      <c r="B48" s="62"/>
      <c r="C48" s="63">
        <v>1</v>
      </c>
      <c r="D48" s="62"/>
      <c r="E48" s="62"/>
      <c r="F48" s="63">
        <f>VLOOKUP(A:A,[1]Sheet1!$A:$D,4,0)</f>
        <v>124</v>
      </c>
      <c r="G48" s="63">
        <f>VLOOKUP(A:A,[1]Sheet1!$A:$C,3,0)</f>
        <v>23</v>
      </c>
      <c r="H48" s="64">
        <f t="shared" si="49"/>
        <v>101</v>
      </c>
      <c r="I48" s="55">
        <f t="shared" si="0"/>
        <v>0.18548387096774194</v>
      </c>
      <c r="K48" s="65">
        <f t="shared" si="50"/>
        <v>14.88</v>
      </c>
      <c r="L48" s="63"/>
      <c r="M48" s="64">
        <f t="shared" si="4"/>
        <v>14.88</v>
      </c>
      <c r="N48" s="46">
        <f t="shared" si="1"/>
        <v>0</v>
      </c>
      <c r="P48" s="56">
        <v>0.13513513513513514</v>
      </c>
      <c r="R48" s="57">
        <v>8.0645161290322578E-2</v>
      </c>
      <c r="S48" s="57">
        <v>4.0322580645161296E-2</v>
      </c>
      <c r="T48" s="57">
        <v>1.6129032258064516E-2</v>
      </c>
      <c r="U48" s="57">
        <v>4.8387096774193547E-2</v>
      </c>
      <c r="W48" s="63">
        <f>VLOOKUP(A:A,'[1]2w &amp; 3w'!$A:$D,4,0)</f>
        <v>32</v>
      </c>
      <c r="X48" s="63">
        <f>VLOOKUP(A:A,'[1]2w &amp; 3w'!$A:$C,3,0)</f>
        <v>3</v>
      </c>
      <c r="Y48" s="63">
        <f t="shared" si="5"/>
        <v>29</v>
      </c>
      <c r="Z48" s="46">
        <f t="shared" si="2"/>
        <v>9.375E-2</v>
      </c>
      <c r="AB48" s="63">
        <f>VLOOKUP(A:A,'[1]2w &amp; 3w'!$A:$G,7,0)</f>
        <v>92</v>
      </c>
      <c r="AC48" s="63">
        <f>VLOOKUP(A:A,'[1]2w &amp; 3w'!$A:$F,6,0)</f>
        <v>20</v>
      </c>
      <c r="AD48" s="63">
        <f t="shared" si="6"/>
        <v>72</v>
      </c>
      <c r="AE48" s="46">
        <f t="shared" si="3"/>
        <v>0.21739130434782608</v>
      </c>
    </row>
    <row r="49" spans="1:31" x14ac:dyDescent="0.25">
      <c r="A49" s="61" t="s">
        <v>58</v>
      </c>
      <c r="B49" s="62"/>
      <c r="C49" s="63">
        <v>1</v>
      </c>
      <c r="D49" s="62"/>
      <c r="E49" s="62"/>
      <c r="F49" s="63">
        <f>VLOOKUP(A:A,[1]Sheet1!$A:$D,4,0)</f>
        <v>97</v>
      </c>
      <c r="G49" s="63">
        <f>VLOOKUP(A:A,[1]Sheet1!$A:$C,3,0)</f>
        <v>18</v>
      </c>
      <c r="H49" s="64">
        <f>F49-G49</f>
        <v>79</v>
      </c>
      <c r="I49" s="55">
        <f t="shared" si="0"/>
        <v>0.18556701030927836</v>
      </c>
      <c r="K49" s="65">
        <f t="shared" si="50"/>
        <v>11.64</v>
      </c>
      <c r="L49" s="63"/>
      <c r="M49" s="64">
        <f t="shared" si="4"/>
        <v>11.64</v>
      </c>
      <c r="N49" s="46">
        <f t="shared" si="1"/>
        <v>0</v>
      </c>
      <c r="P49" s="56">
        <v>0.21621621621621623</v>
      </c>
      <c r="R49" s="57">
        <v>7.2164948453608255E-2</v>
      </c>
      <c r="S49" s="57">
        <v>5.1546391752577317E-2</v>
      </c>
      <c r="T49" s="57">
        <v>3.0927835051546393E-2</v>
      </c>
      <c r="U49" s="57">
        <v>3.0927835051546393E-2</v>
      </c>
      <c r="W49" s="63">
        <f>VLOOKUP(A:A,'[1]2w &amp; 3w'!$A:$D,4,0)</f>
        <v>11</v>
      </c>
      <c r="X49" s="63">
        <f>VLOOKUP(A:A,'[1]2w &amp; 3w'!$A:$C,3,0)</f>
        <v>1</v>
      </c>
      <c r="Y49" s="63">
        <f t="shared" si="5"/>
        <v>10</v>
      </c>
      <c r="Z49" s="46">
        <f t="shared" si="2"/>
        <v>9.0909090909090912E-2</v>
      </c>
      <c r="AB49" s="63">
        <f>VLOOKUP(A:A,'[1]2w &amp; 3w'!$A:$G,7,0)</f>
        <v>86</v>
      </c>
      <c r="AC49" s="63">
        <f>VLOOKUP(A:A,'[1]2w &amp; 3w'!$A:$F,6,0)</f>
        <v>17</v>
      </c>
      <c r="AD49" s="63">
        <f t="shared" si="6"/>
        <v>69</v>
      </c>
      <c r="AE49" s="46">
        <f t="shared" si="3"/>
        <v>0.19767441860465115</v>
      </c>
    </row>
    <row r="50" spans="1:31" x14ac:dyDescent="0.25">
      <c r="A50" s="58" t="s">
        <v>59</v>
      </c>
      <c r="B50" s="59"/>
      <c r="C50" s="60">
        <f>SUM(C51:C53)</f>
        <v>4</v>
      </c>
      <c r="D50" s="59"/>
      <c r="E50" s="59"/>
      <c r="F50" s="60">
        <f>SUM(F51:F53)</f>
        <v>404</v>
      </c>
      <c r="G50" s="60">
        <f>SUM(G51:G53)</f>
        <v>63</v>
      </c>
      <c r="H50" s="60">
        <f>SUM(H51:H53)</f>
        <v>341</v>
      </c>
      <c r="I50" s="55">
        <f t="shared" si="0"/>
        <v>0.15594059405940594</v>
      </c>
      <c r="K50" s="60">
        <f>SUM(K51:K53)</f>
        <v>48.480000000000004</v>
      </c>
      <c r="L50" s="60">
        <f>SUM(L51:L53)</f>
        <v>0</v>
      </c>
      <c r="M50" s="60">
        <f>SUM(M51:M53)</f>
        <v>48.480000000000004</v>
      </c>
      <c r="N50" s="46">
        <f t="shared" si="1"/>
        <v>0</v>
      </c>
      <c r="P50" s="56">
        <v>0.16136919315403422</v>
      </c>
      <c r="R50" s="57">
        <v>9.1584158415841582E-2</v>
      </c>
      <c r="S50" s="57">
        <v>2.2277227722772276E-2</v>
      </c>
      <c r="T50" s="57">
        <v>9.9009900990099028E-3</v>
      </c>
      <c r="U50" s="57">
        <v>3.2178217821782179E-2</v>
      </c>
      <c r="W50" s="60">
        <f>SUM(W51:W53)</f>
        <v>52</v>
      </c>
      <c r="X50" s="60">
        <f>SUM(X51:X53)</f>
        <v>3</v>
      </c>
      <c r="Y50" s="60">
        <f>SUM(Y51:Y53)</f>
        <v>49</v>
      </c>
      <c r="Z50" s="46">
        <f t="shared" si="2"/>
        <v>5.7692307692307696E-2</v>
      </c>
      <c r="AB50" s="60">
        <f>SUM(AB51:AB53)</f>
        <v>352</v>
      </c>
      <c r="AC50" s="60">
        <f>SUM(AC51:AC53)</f>
        <v>60</v>
      </c>
      <c r="AD50" s="60">
        <f>SUM(AD51:AD53)</f>
        <v>292</v>
      </c>
      <c r="AE50" s="46">
        <f t="shared" si="3"/>
        <v>0.17045454545454544</v>
      </c>
    </row>
    <row r="51" spans="1:31" x14ac:dyDescent="0.25">
      <c r="A51" s="61" t="s">
        <v>60</v>
      </c>
      <c r="B51" s="62"/>
      <c r="C51" s="63">
        <v>1</v>
      </c>
      <c r="D51" s="62"/>
      <c r="E51" s="62"/>
      <c r="F51" s="63">
        <f>VLOOKUP(A:A,[1]Sheet1!$A:$D,4,0)</f>
        <v>99</v>
      </c>
      <c r="G51" s="63">
        <f>VLOOKUP(A:A,[1]Sheet1!$A:$C,3,0)</f>
        <v>17</v>
      </c>
      <c r="H51" s="64">
        <f t="shared" ref="H51:H53" si="51">F51-G51</f>
        <v>82</v>
      </c>
      <c r="I51" s="55">
        <f t="shared" si="0"/>
        <v>0.17171717171717171</v>
      </c>
      <c r="K51" s="65">
        <f t="shared" ref="K51:K53" si="52">F51*12/100</f>
        <v>11.88</v>
      </c>
      <c r="L51" s="63"/>
      <c r="M51" s="64">
        <f t="shared" si="4"/>
        <v>11.88</v>
      </c>
      <c r="N51" s="46">
        <f t="shared" si="1"/>
        <v>0</v>
      </c>
      <c r="P51" s="56">
        <v>0.12745098039215685</v>
      </c>
      <c r="R51" s="57">
        <v>0.10101010101010101</v>
      </c>
      <c r="S51" s="57">
        <v>3.0303030303030297E-2</v>
      </c>
      <c r="T51" s="57">
        <v>1.0101010101010104E-2</v>
      </c>
      <c r="U51" s="57">
        <v>3.0303030303030304E-2</v>
      </c>
      <c r="W51" s="63">
        <f>VLOOKUP(A:A,'[1]2w &amp; 3w'!$A:$D,4,0)</f>
        <v>15</v>
      </c>
      <c r="X51" s="63">
        <f>VLOOKUP(A:A,'[1]2w &amp; 3w'!$A:$C,3,0)</f>
        <v>2</v>
      </c>
      <c r="Y51" s="63">
        <f t="shared" si="5"/>
        <v>13</v>
      </c>
      <c r="Z51" s="46">
        <f t="shared" si="2"/>
        <v>0.13333333333333333</v>
      </c>
      <c r="AB51" s="63">
        <f>VLOOKUP(A:A,'[1]2w &amp; 3w'!$A:$G,7,0)</f>
        <v>84</v>
      </c>
      <c r="AC51" s="63">
        <f>VLOOKUP(A:A,'[1]2w &amp; 3w'!$A:$F,6,0)</f>
        <v>15</v>
      </c>
      <c r="AD51" s="63">
        <f t="shared" si="6"/>
        <v>69</v>
      </c>
      <c r="AE51" s="46">
        <f t="shared" si="3"/>
        <v>0.17857142857142858</v>
      </c>
    </row>
    <row r="52" spans="1:31" x14ac:dyDescent="0.25">
      <c r="A52" s="61" t="s">
        <v>61</v>
      </c>
      <c r="B52" s="62"/>
      <c r="C52" s="63">
        <v>1</v>
      </c>
      <c r="D52" s="62"/>
      <c r="E52" s="62"/>
      <c r="F52" s="63">
        <f>VLOOKUP(A:A,[1]Sheet1!$A:$D,4,0)</f>
        <v>100</v>
      </c>
      <c r="G52" s="63">
        <f>VLOOKUP(A:A,[1]Sheet1!$A:$C,3,0)</f>
        <v>15</v>
      </c>
      <c r="H52" s="64">
        <f t="shared" si="51"/>
        <v>85</v>
      </c>
      <c r="I52" s="55">
        <f t="shared" si="0"/>
        <v>0.15</v>
      </c>
      <c r="K52" s="65">
        <f t="shared" si="52"/>
        <v>12</v>
      </c>
      <c r="L52" s="63"/>
      <c r="M52" s="64">
        <f t="shared" si="4"/>
        <v>12</v>
      </c>
      <c r="N52" s="46">
        <f t="shared" si="1"/>
        <v>0</v>
      </c>
      <c r="P52" s="56">
        <v>0.21099999999999999</v>
      </c>
      <c r="R52" s="57">
        <v>9.9999999999999992E-2</v>
      </c>
      <c r="S52" s="57">
        <v>3.0000000000000002E-2</v>
      </c>
      <c r="T52" s="57">
        <v>0.02</v>
      </c>
      <c r="U52" s="57">
        <v>0</v>
      </c>
      <c r="W52" s="63">
        <f>VLOOKUP(A:A,'[1]2w &amp; 3w'!$A:$D,4,0)</f>
        <v>2</v>
      </c>
      <c r="X52" s="63">
        <f>VLOOKUP(A:A,'[1]2w &amp; 3w'!$A:$C,3,0)</f>
        <v>1</v>
      </c>
      <c r="Y52" s="63">
        <f t="shared" si="5"/>
        <v>1</v>
      </c>
      <c r="Z52" s="46">
        <f t="shared" si="2"/>
        <v>0.5</v>
      </c>
      <c r="AB52" s="63">
        <f>VLOOKUP(A:A,'[1]2w &amp; 3w'!$A:$G,7,0)</f>
        <v>98</v>
      </c>
      <c r="AC52" s="63">
        <f>VLOOKUP(A:A,'[1]2w &amp; 3w'!$A:$F,6,0)</f>
        <v>14</v>
      </c>
      <c r="AD52" s="63">
        <f t="shared" si="6"/>
        <v>84</v>
      </c>
      <c r="AE52" s="46">
        <f t="shared" si="3"/>
        <v>0.14285714285714285</v>
      </c>
    </row>
    <row r="53" spans="1:31" x14ac:dyDescent="0.25">
      <c r="A53" s="61" t="s">
        <v>177</v>
      </c>
      <c r="B53" s="62"/>
      <c r="C53" s="63">
        <v>2</v>
      </c>
      <c r="D53" s="62"/>
      <c r="E53" s="62"/>
      <c r="F53" s="63">
        <f>VLOOKUP(A:A,[1]Sheet1!$A:$D,4,0)</f>
        <v>205</v>
      </c>
      <c r="G53" s="63">
        <f>VLOOKUP(A:A,[1]Sheet1!$A:$C,3,0)</f>
        <v>31</v>
      </c>
      <c r="H53" s="64">
        <f t="shared" si="51"/>
        <v>174</v>
      </c>
      <c r="I53" s="55">
        <f t="shared" si="0"/>
        <v>0.15121951219512195</v>
      </c>
      <c r="K53" s="65">
        <f t="shared" si="52"/>
        <v>24.6</v>
      </c>
      <c r="L53" s="63"/>
      <c r="M53" s="64">
        <f t="shared" si="4"/>
        <v>24.6</v>
      </c>
      <c r="N53" s="46">
        <f t="shared" si="1"/>
        <v>0</v>
      </c>
      <c r="P53" s="56">
        <v>0.14499999999999999</v>
      </c>
      <c r="R53" s="57">
        <v>8.2926829268292673E-2</v>
      </c>
      <c r="S53" s="57">
        <v>1.4634146341463421E-2</v>
      </c>
      <c r="T53" s="57">
        <v>4.8780487804878023E-3</v>
      </c>
      <c r="U53" s="57">
        <v>4.878048780487805E-2</v>
      </c>
      <c r="W53" s="63">
        <f>VLOOKUP(A:A,'[1]2w &amp; 3w'!$A:$D,4,0)</f>
        <v>35</v>
      </c>
      <c r="X53" s="63">
        <f>VLOOKUP(A:A,'[1]2w &amp; 3w'!$A:$C,3,0)</f>
        <v>0</v>
      </c>
      <c r="Y53" s="63">
        <f t="shared" si="5"/>
        <v>35</v>
      </c>
      <c r="Z53" s="46">
        <f t="shared" si="2"/>
        <v>0</v>
      </c>
      <c r="AB53" s="63">
        <f>VLOOKUP(A:A,'[1]2w &amp; 3w'!$A:$G,7,0)</f>
        <v>170</v>
      </c>
      <c r="AC53" s="63">
        <f>VLOOKUP(A:A,'[1]2w &amp; 3w'!$A:$F,6,0)</f>
        <v>31</v>
      </c>
      <c r="AD53" s="63">
        <f t="shared" si="6"/>
        <v>139</v>
      </c>
      <c r="AE53" s="46">
        <f t="shared" si="3"/>
        <v>0.18235294117647058</v>
      </c>
    </row>
    <row r="54" spans="1:31" x14ac:dyDescent="0.25">
      <c r="A54" s="58" t="s">
        <v>62</v>
      </c>
      <c r="B54" s="59"/>
      <c r="C54" s="60">
        <f>SUM(C55:C60)</f>
        <v>6</v>
      </c>
      <c r="D54" s="59"/>
      <c r="E54" s="59"/>
      <c r="F54" s="60">
        <f>SUM(F55:F60)</f>
        <v>582</v>
      </c>
      <c r="G54" s="60">
        <f>SUM(G55:G60)</f>
        <v>92</v>
      </c>
      <c r="H54" s="60">
        <f>SUM(H55:H60)</f>
        <v>490</v>
      </c>
      <c r="I54" s="55">
        <f t="shared" si="0"/>
        <v>0.15807560137457044</v>
      </c>
      <c r="K54" s="60">
        <f>SUM(K55:K60)</f>
        <v>69.84</v>
      </c>
      <c r="L54" s="60">
        <f>SUM(L55:L60)</f>
        <v>0</v>
      </c>
      <c r="M54" s="60">
        <f>SUM(M55:M60)</f>
        <v>69.84</v>
      </c>
      <c r="N54" s="46">
        <f t="shared" si="1"/>
        <v>0</v>
      </c>
      <c r="P54" s="56">
        <v>0.17170111287758347</v>
      </c>
      <c r="R54" s="57">
        <v>6.7010309278350513E-2</v>
      </c>
      <c r="S54" s="57">
        <v>2.9209621993127141E-2</v>
      </c>
      <c r="T54" s="57">
        <v>2.4054982817869421E-2</v>
      </c>
      <c r="U54" s="57">
        <v>3.7800687285223365E-2</v>
      </c>
      <c r="W54" s="60">
        <f>SUM(W55:W60)</f>
        <v>277</v>
      </c>
      <c r="X54" s="60">
        <f>SUM(X55:X60)</f>
        <v>29</v>
      </c>
      <c r="Y54" s="60">
        <f>SUM(Y55:Y60)</f>
        <v>248</v>
      </c>
      <c r="Z54" s="46">
        <f t="shared" si="2"/>
        <v>0.10469314079422383</v>
      </c>
      <c r="AB54" s="60">
        <f>SUM(AB55:AB60)</f>
        <v>305</v>
      </c>
      <c r="AC54" s="60">
        <f>SUM(AC55:AC60)</f>
        <v>63</v>
      </c>
      <c r="AD54" s="60">
        <f>SUM(AD55:AD60)</f>
        <v>242</v>
      </c>
      <c r="AE54" s="46">
        <f t="shared" si="3"/>
        <v>0.20655737704918034</v>
      </c>
    </row>
    <row r="55" spans="1:31" x14ac:dyDescent="0.25">
      <c r="A55" s="61" t="s">
        <v>63</v>
      </c>
      <c r="B55" s="62"/>
      <c r="C55" s="63">
        <v>1</v>
      </c>
      <c r="D55" s="62"/>
      <c r="E55" s="62"/>
      <c r="F55" s="63">
        <f>VLOOKUP(A:A,[1]Sheet1!$A:$D,4,0)</f>
        <v>83</v>
      </c>
      <c r="G55" s="63">
        <f>VLOOKUP(A:A,[1]Sheet1!$A:$C,3,0)</f>
        <v>16</v>
      </c>
      <c r="H55" s="64">
        <f t="shared" ref="H55:H60" si="53">F55-G55</f>
        <v>67</v>
      </c>
      <c r="I55" s="55">
        <f t="shared" si="0"/>
        <v>0.19277108433734941</v>
      </c>
      <c r="K55" s="65">
        <f t="shared" ref="K55:K60" si="54">F55*12/100</f>
        <v>9.9600000000000009</v>
      </c>
      <c r="L55" s="63"/>
      <c r="M55" s="64">
        <f t="shared" si="4"/>
        <v>9.9600000000000009</v>
      </c>
      <c r="N55" s="46">
        <f t="shared" si="1"/>
        <v>0</v>
      </c>
      <c r="P55" s="56">
        <v>0.17499999999999999</v>
      </c>
      <c r="R55" s="57">
        <v>7.2289156626506035E-2</v>
      </c>
      <c r="S55" s="57">
        <v>4.8192771084337352E-2</v>
      </c>
      <c r="T55" s="57">
        <v>2.4096385542168669E-2</v>
      </c>
      <c r="U55" s="57">
        <v>4.8192771084337352E-2</v>
      </c>
      <c r="W55" s="63">
        <f>VLOOKUP(A:A,'[1]2w &amp; 3w'!$A:$D,4,0)</f>
        <v>70</v>
      </c>
      <c r="X55" s="63">
        <f>VLOOKUP(A:A,'[1]2w &amp; 3w'!$A:$C,3,0)</f>
        <v>13</v>
      </c>
      <c r="Y55" s="63">
        <f t="shared" si="5"/>
        <v>57</v>
      </c>
      <c r="Z55" s="46">
        <f t="shared" si="2"/>
        <v>0.18571428571428572</v>
      </c>
      <c r="AB55" s="63">
        <f>VLOOKUP(A:A,'[1]2w &amp; 3w'!$A:$G,7,0)</f>
        <v>13</v>
      </c>
      <c r="AC55" s="63">
        <f>VLOOKUP(A:A,'[1]2w &amp; 3w'!$A:$F,6,0)</f>
        <v>3</v>
      </c>
      <c r="AD55" s="63">
        <f t="shared" si="6"/>
        <v>10</v>
      </c>
      <c r="AE55" s="46">
        <f t="shared" si="3"/>
        <v>0.23076923076923078</v>
      </c>
    </row>
    <row r="56" spans="1:31" x14ac:dyDescent="0.25">
      <c r="A56" s="61" t="s">
        <v>64</v>
      </c>
      <c r="B56" s="62"/>
      <c r="C56" s="63">
        <v>1</v>
      </c>
      <c r="D56" s="62"/>
      <c r="E56" s="62"/>
      <c r="F56" s="63">
        <f>VLOOKUP(A:A,[1]Sheet1!$A:$D,4,0)</f>
        <v>114</v>
      </c>
      <c r="G56" s="63">
        <f>VLOOKUP(A:A,[1]Sheet1!$A:$C,3,0)</f>
        <v>10</v>
      </c>
      <c r="H56" s="64">
        <f t="shared" si="53"/>
        <v>104</v>
      </c>
      <c r="I56" s="55">
        <f t="shared" si="0"/>
        <v>8.771929824561403E-2</v>
      </c>
      <c r="K56" s="65">
        <f t="shared" si="54"/>
        <v>13.68</v>
      </c>
      <c r="L56" s="63"/>
      <c r="M56" s="64">
        <f t="shared" si="4"/>
        <v>13.68</v>
      </c>
      <c r="N56" s="46">
        <f t="shared" si="1"/>
        <v>0</v>
      </c>
      <c r="P56" s="56">
        <v>0.17241379310344829</v>
      </c>
      <c r="R56" s="57">
        <v>3.5087719298245612E-2</v>
      </c>
      <c r="S56" s="57">
        <v>8.771929824561403E-3</v>
      </c>
      <c r="T56" s="57">
        <v>1.7543859649122806E-2</v>
      </c>
      <c r="U56" s="57">
        <v>2.6315789473684209E-2</v>
      </c>
      <c r="W56" s="63">
        <f>VLOOKUP(A:A,'[1]2w &amp; 3w'!$A:$D,4,0)</f>
        <v>108</v>
      </c>
      <c r="X56" s="63">
        <f>VLOOKUP(A:A,'[1]2w &amp; 3w'!$A:$C,3,0)</f>
        <v>9</v>
      </c>
      <c r="Y56" s="63">
        <f t="shared" si="5"/>
        <v>99</v>
      </c>
      <c r="Z56" s="46">
        <f t="shared" si="2"/>
        <v>8.3333333333333329E-2</v>
      </c>
      <c r="AB56" s="63">
        <f>VLOOKUP(A:A,'[1]2w &amp; 3w'!$A:$G,7,0)</f>
        <v>6</v>
      </c>
      <c r="AC56" s="63">
        <f>VLOOKUP(A:A,'[1]2w &amp; 3w'!$A:$F,6,0)</f>
        <v>1</v>
      </c>
      <c r="AD56" s="63">
        <f t="shared" si="6"/>
        <v>5</v>
      </c>
      <c r="AE56" s="46">
        <f t="shared" si="3"/>
        <v>0.16666666666666666</v>
      </c>
    </row>
    <row r="57" spans="1:31" x14ac:dyDescent="0.25">
      <c r="A57" s="61" t="s">
        <v>65</v>
      </c>
      <c r="B57" s="62"/>
      <c r="C57" s="63">
        <v>1</v>
      </c>
      <c r="D57" s="62"/>
      <c r="E57" s="62"/>
      <c r="F57" s="63">
        <f>VLOOKUP(A:A,[1]Sheet1!$A:$D,4,0)</f>
        <v>111</v>
      </c>
      <c r="G57" s="63">
        <f>VLOOKUP(A:A,[1]Sheet1!$A:$C,3,0)</f>
        <v>19</v>
      </c>
      <c r="H57" s="64">
        <f t="shared" si="53"/>
        <v>92</v>
      </c>
      <c r="I57" s="55">
        <f t="shared" si="0"/>
        <v>0.17117117117117117</v>
      </c>
      <c r="K57" s="65">
        <f t="shared" si="54"/>
        <v>13.32</v>
      </c>
      <c r="L57" s="63"/>
      <c r="M57" s="64">
        <f t="shared" si="4"/>
        <v>13.32</v>
      </c>
      <c r="N57" s="46">
        <f t="shared" si="1"/>
        <v>0</v>
      </c>
      <c r="P57" s="56">
        <v>0.14699999999999999</v>
      </c>
      <c r="R57" s="57">
        <v>9.0090090090090086E-2</v>
      </c>
      <c r="S57" s="57">
        <v>4.504504504504505E-2</v>
      </c>
      <c r="T57" s="57">
        <v>9.0090090090090072E-3</v>
      </c>
      <c r="U57" s="57">
        <v>2.7027027027027029E-2</v>
      </c>
      <c r="W57" s="63">
        <f>VLOOKUP(A:A,'[1]2w &amp; 3w'!$A:$D,4,0)</f>
        <v>36</v>
      </c>
      <c r="X57" s="63">
        <f>VLOOKUP(A:A,'[1]2w &amp; 3w'!$A:$C,3,0)</f>
        <v>3</v>
      </c>
      <c r="Y57" s="63">
        <f t="shared" si="5"/>
        <v>33</v>
      </c>
      <c r="Z57" s="46">
        <f t="shared" si="2"/>
        <v>8.3333333333333329E-2</v>
      </c>
      <c r="AB57" s="63">
        <f>VLOOKUP(A:A,'[1]2w &amp; 3w'!$A:$G,7,0)</f>
        <v>75</v>
      </c>
      <c r="AC57" s="63">
        <f>VLOOKUP(A:A,'[1]2w &amp; 3w'!$A:$F,6,0)</f>
        <v>16</v>
      </c>
      <c r="AD57" s="63">
        <f t="shared" si="6"/>
        <v>59</v>
      </c>
      <c r="AE57" s="46">
        <f t="shared" si="3"/>
        <v>0.21333333333333335</v>
      </c>
    </row>
    <row r="58" spans="1:31" x14ac:dyDescent="0.25">
      <c r="A58" s="61" t="s">
        <v>66</v>
      </c>
      <c r="B58" s="62"/>
      <c r="C58" s="63">
        <v>1</v>
      </c>
      <c r="D58" s="62"/>
      <c r="E58" s="62"/>
      <c r="F58" s="63">
        <f>VLOOKUP(A:A,[1]Sheet1!$A:$D,4,0)</f>
        <v>115</v>
      </c>
      <c r="G58" s="63">
        <f>VLOOKUP(A:A,[1]Sheet1!$A:$C,3,0)</f>
        <v>18</v>
      </c>
      <c r="H58" s="64">
        <f t="shared" si="53"/>
        <v>97</v>
      </c>
      <c r="I58" s="55">
        <f t="shared" si="0"/>
        <v>0.15652173913043479</v>
      </c>
      <c r="K58" s="65">
        <f t="shared" si="54"/>
        <v>13.8</v>
      </c>
      <c r="L58" s="63"/>
      <c r="M58" s="64">
        <f t="shared" si="4"/>
        <v>13.8</v>
      </c>
      <c r="N58" s="46">
        <f t="shared" si="1"/>
        <v>0</v>
      </c>
      <c r="P58" s="56">
        <v>0.21348314606741572</v>
      </c>
      <c r="R58" s="57">
        <v>6.0869565217391314E-2</v>
      </c>
      <c r="S58" s="57">
        <v>2.6086956521739132E-2</v>
      </c>
      <c r="T58" s="57">
        <v>4.3478260869565216E-2</v>
      </c>
      <c r="U58" s="57">
        <v>2.6086956521739129E-2</v>
      </c>
      <c r="W58" s="63">
        <f>VLOOKUP(A:A,'[1]2w &amp; 3w'!$A:$D,4,0)</f>
        <v>16</v>
      </c>
      <c r="X58" s="63">
        <f>VLOOKUP(A:A,'[1]2w &amp; 3w'!$A:$C,3,0)</f>
        <v>0</v>
      </c>
      <c r="Y58" s="63">
        <f t="shared" si="5"/>
        <v>16</v>
      </c>
      <c r="Z58" s="46">
        <f t="shared" si="2"/>
        <v>0</v>
      </c>
      <c r="AB58" s="63">
        <f>VLOOKUP(A:A,'[1]2w &amp; 3w'!$A:$G,7,0)</f>
        <v>99</v>
      </c>
      <c r="AC58" s="63">
        <f>VLOOKUP(A:A,'[1]2w &amp; 3w'!$A:$F,6,0)</f>
        <v>18</v>
      </c>
      <c r="AD58" s="63">
        <f t="shared" si="6"/>
        <v>81</v>
      </c>
      <c r="AE58" s="46">
        <f t="shared" si="3"/>
        <v>0.18181818181818182</v>
      </c>
    </row>
    <row r="59" spans="1:31" x14ac:dyDescent="0.25">
      <c r="A59" s="61" t="s">
        <v>67</v>
      </c>
      <c r="B59" s="62"/>
      <c r="C59" s="63">
        <v>1</v>
      </c>
      <c r="D59" s="62"/>
      <c r="E59" s="62"/>
      <c r="F59" s="63">
        <f>VLOOKUP(A:A,[1]Sheet1!$A:$D,4,0)</f>
        <v>89</v>
      </c>
      <c r="G59" s="63">
        <f>VLOOKUP(A:A,[1]Sheet1!$A:$C,3,0)</f>
        <v>17</v>
      </c>
      <c r="H59" s="64">
        <f t="shared" si="53"/>
        <v>72</v>
      </c>
      <c r="I59" s="55">
        <f t="shared" si="0"/>
        <v>0.19101123595505617</v>
      </c>
      <c r="K59" s="65">
        <f t="shared" si="54"/>
        <v>10.68</v>
      </c>
      <c r="L59" s="63"/>
      <c r="M59" s="64">
        <f t="shared" si="4"/>
        <v>10.68</v>
      </c>
      <c r="N59" s="46">
        <f t="shared" si="1"/>
        <v>0</v>
      </c>
      <c r="P59" s="56">
        <v>0.115</v>
      </c>
      <c r="R59" s="57">
        <v>5.6179775280898875E-2</v>
      </c>
      <c r="S59" s="57">
        <v>2.247191011235955E-2</v>
      </c>
      <c r="T59" s="57">
        <v>4.49438202247191E-2</v>
      </c>
      <c r="U59" s="57">
        <v>6.741573033707865E-2</v>
      </c>
      <c r="W59" s="63">
        <f>VLOOKUP(A:A,'[1]2w &amp; 3w'!$A:$D,4,0)</f>
        <v>15</v>
      </c>
      <c r="X59" s="63">
        <f>VLOOKUP(A:A,'[1]2w &amp; 3w'!$A:$C,3,0)</f>
        <v>0</v>
      </c>
      <c r="Y59" s="63">
        <f t="shared" si="5"/>
        <v>15</v>
      </c>
      <c r="Z59" s="46">
        <f t="shared" si="2"/>
        <v>0</v>
      </c>
      <c r="AB59" s="63">
        <f>VLOOKUP(A:A,'[1]2w &amp; 3w'!$A:$G,7,0)</f>
        <v>74</v>
      </c>
      <c r="AC59" s="63">
        <f>VLOOKUP(A:A,'[1]2w &amp; 3w'!$A:$F,6,0)</f>
        <v>17</v>
      </c>
      <c r="AD59" s="63">
        <f t="shared" si="6"/>
        <v>57</v>
      </c>
      <c r="AE59" s="46">
        <f t="shared" si="3"/>
        <v>0.22972972972972974</v>
      </c>
    </row>
    <row r="60" spans="1:31" x14ac:dyDescent="0.25">
      <c r="A60" s="61" t="s">
        <v>68</v>
      </c>
      <c r="B60" s="62"/>
      <c r="C60" s="63">
        <v>1</v>
      </c>
      <c r="D60" s="62"/>
      <c r="E60" s="62"/>
      <c r="F60" s="63">
        <f>VLOOKUP(A:A,[1]Sheet1!$A:$D,4,0)</f>
        <v>70</v>
      </c>
      <c r="G60" s="63">
        <f>VLOOKUP(A:A,[1]Sheet1!$A:$C,3,0)</f>
        <v>12</v>
      </c>
      <c r="H60" s="64">
        <f t="shared" si="53"/>
        <v>58</v>
      </c>
      <c r="I60" s="55">
        <f t="shared" si="0"/>
        <v>0.17142857142857143</v>
      </c>
      <c r="K60" s="65">
        <f t="shared" si="54"/>
        <v>8.4</v>
      </c>
      <c r="L60" s="63"/>
      <c r="M60" s="64">
        <f t="shared" si="4"/>
        <v>8.4</v>
      </c>
      <c r="N60" s="46">
        <f t="shared" si="1"/>
        <v>0</v>
      </c>
      <c r="P60" s="56">
        <v>5.5E-2</v>
      </c>
      <c r="R60" s="57">
        <v>0.1</v>
      </c>
      <c r="S60" s="57">
        <v>2.8571428571428567E-2</v>
      </c>
      <c r="T60" s="57">
        <v>0</v>
      </c>
      <c r="U60" s="57">
        <v>4.2857142857142858E-2</v>
      </c>
      <c r="W60" s="63">
        <f>VLOOKUP(A:A,'[1]2w &amp; 3w'!$A:$D,4,0)</f>
        <v>32</v>
      </c>
      <c r="X60" s="63">
        <f>VLOOKUP(A:A,'[1]2w &amp; 3w'!$A:$C,3,0)</f>
        <v>4</v>
      </c>
      <c r="Y60" s="63">
        <f t="shared" si="5"/>
        <v>28</v>
      </c>
      <c r="Z60" s="46">
        <f t="shared" si="2"/>
        <v>0.125</v>
      </c>
      <c r="AB60" s="63">
        <f>VLOOKUP(A:A,'[1]2w &amp; 3w'!$A:$G,7,0)</f>
        <v>38</v>
      </c>
      <c r="AC60" s="63">
        <f>VLOOKUP(A:A,'[1]2w &amp; 3w'!$A:$F,6,0)</f>
        <v>8</v>
      </c>
      <c r="AD60" s="63">
        <f t="shared" si="6"/>
        <v>30</v>
      </c>
      <c r="AE60" s="46">
        <f t="shared" si="3"/>
        <v>0.21052631578947367</v>
      </c>
    </row>
    <row r="61" spans="1:31" x14ac:dyDescent="0.25">
      <c r="A61" s="58" t="s">
        <v>69</v>
      </c>
      <c r="B61" s="59"/>
      <c r="C61" s="51">
        <f>SUM(C62:C65)</f>
        <v>6</v>
      </c>
      <c r="D61" s="59"/>
      <c r="E61" s="59"/>
      <c r="F61" s="51">
        <f t="shared" ref="F61:H61" si="55">SUM(F62:F65)</f>
        <v>520</v>
      </c>
      <c r="G61" s="51">
        <f t="shared" si="55"/>
        <v>66</v>
      </c>
      <c r="H61" s="51">
        <f t="shared" si="55"/>
        <v>454</v>
      </c>
      <c r="I61" s="55">
        <f t="shared" si="0"/>
        <v>0.12692307692307692</v>
      </c>
      <c r="K61" s="72">
        <f t="shared" ref="K61:M61" si="56">SUM(K62:K65)</f>
        <v>62.399999999999991</v>
      </c>
      <c r="L61" s="72">
        <f t="shared" si="56"/>
        <v>0</v>
      </c>
      <c r="M61" s="72">
        <f t="shared" si="56"/>
        <v>62.399999999999991</v>
      </c>
      <c r="N61" s="46">
        <f t="shared" si="1"/>
        <v>0</v>
      </c>
      <c r="P61" s="56">
        <v>0.14802065404475043</v>
      </c>
      <c r="R61" s="57">
        <v>6.1538461538461528E-2</v>
      </c>
      <c r="S61" s="57">
        <v>2.6923076923076925E-2</v>
      </c>
      <c r="T61" s="57">
        <v>9.6153846153846159E-3</v>
      </c>
      <c r="U61" s="57">
        <v>2.8846153846153848E-2</v>
      </c>
      <c r="W61" s="72">
        <f t="shared" ref="W61:Y61" si="57">SUM(W62:W65)</f>
        <v>296</v>
      </c>
      <c r="X61" s="72">
        <f t="shared" si="57"/>
        <v>26</v>
      </c>
      <c r="Y61" s="72">
        <f t="shared" si="57"/>
        <v>270</v>
      </c>
      <c r="Z61" s="46">
        <f t="shared" si="2"/>
        <v>8.7837837837837843E-2</v>
      </c>
      <c r="AB61" s="72">
        <f t="shared" ref="AB61:AD61" si="58">SUM(AB62:AB65)</f>
        <v>224</v>
      </c>
      <c r="AC61" s="72">
        <f t="shared" si="58"/>
        <v>40</v>
      </c>
      <c r="AD61" s="72">
        <f t="shared" si="58"/>
        <v>184</v>
      </c>
      <c r="AE61" s="46">
        <f t="shared" si="3"/>
        <v>0.17857142857142858</v>
      </c>
    </row>
    <row r="62" spans="1:31" x14ac:dyDescent="0.25">
      <c r="A62" s="61" t="s">
        <v>70</v>
      </c>
      <c r="B62" s="62"/>
      <c r="C62" s="63">
        <v>2</v>
      </c>
      <c r="D62" s="63"/>
      <c r="E62" s="63"/>
      <c r="F62" s="63">
        <f>VLOOKUP(A:A,[1]Sheet1!$A:$D,4,0)</f>
        <v>238</v>
      </c>
      <c r="G62" s="63">
        <f>VLOOKUP(A:A,[1]Sheet1!$A:$C,3,0)</f>
        <v>36</v>
      </c>
      <c r="H62" s="64">
        <f t="shared" ref="H62:H65" si="59">F62-G62</f>
        <v>202</v>
      </c>
      <c r="I62" s="55">
        <f t="shared" si="0"/>
        <v>0.15126050420168066</v>
      </c>
      <c r="K62" s="65">
        <f t="shared" ref="K62:K65" si="60">F62*12/100</f>
        <v>28.56</v>
      </c>
      <c r="L62" s="63"/>
      <c r="M62" s="64">
        <f t="shared" si="4"/>
        <v>28.56</v>
      </c>
      <c r="N62" s="46">
        <f t="shared" si="1"/>
        <v>0</v>
      </c>
      <c r="P62" s="56">
        <v>0.1875</v>
      </c>
      <c r="R62" s="57">
        <v>7.1428571428571425E-2</v>
      </c>
      <c r="S62" s="57">
        <v>2.9411764705882346E-2</v>
      </c>
      <c r="T62" s="57">
        <v>1.6806722689075633E-2</v>
      </c>
      <c r="U62" s="57">
        <v>3.3613445378151259E-2</v>
      </c>
      <c r="W62" s="63">
        <f>VLOOKUP(A:A,'[1]2w &amp; 3w'!$A:$D,4,0)</f>
        <v>54</v>
      </c>
      <c r="X62" s="63">
        <f>VLOOKUP(A:A,'[1]2w &amp; 3w'!$A:$C,3,0)</f>
        <v>2</v>
      </c>
      <c r="Y62" s="63">
        <f t="shared" si="5"/>
        <v>52</v>
      </c>
      <c r="Z62" s="46">
        <f t="shared" si="2"/>
        <v>3.7037037037037035E-2</v>
      </c>
      <c r="AB62" s="63">
        <f>VLOOKUP(A:A,'[1]2w &amp; 3w'!$A:$G,7,0)</f>
        <v>184</v>
      </c>
      <c r="AC62" s="63">
        <f>VLOOKUP(A:A,'[1]2w &amp; 3w'!$A:$F,6,0)</f>
        <v>34</v>
      </c>
      <c r="AD62" s="63">
        <f t="shared" si="6"/>
        <v>150</v>
      </c>
      <c r="AE62" s="46">
        <f t="shared" si="3"/>
        <v>0.18478260869565216</v>
      </c>
    </row>
    <row r="63" spans="1:31" x14ac:dyDescent="0.25">
      <c r="A63" s="61" t="s">
        <v>71</v>
      </c>
      <c r="B63" s="62"/>
      <c r="C63" s="63">
        <v>2</v>
      </c>
      <c r="D63" s="62"/>
      <c r="E63" s="62"/>
      <c r="F63" s="63">
        <f>VLOOKUP(A:A,[1]Sheet1!$A:$D,4,0)</f>
        <v>164</v>
      </c>
      <c r="G63" s="63">
        <f>VLOOKUP(A:A,[1]Sheet1!$A:$C,3,0)</f>
        <v>15</v>
      </c>
      <c r="H63" s="64">
        <f t="shared" si="59"/>
        <v>149</v>
      </c>
      <c r="I63" s="55">
        <f>G63/F63</f>
        <v>9.1463414634146339E-2</v>
      </c>
      <c r="K63" s="65">
        <f t="shared" si="60"/>
        <v>19.68</v>
      </c>
      <c r="L63" s="63"/>
      <c r="M63" s="64">
        <f t="shared" si="4"/>
        <v>19.68</v>
      </c>
      <c r="N63" s="46">
        <f t="shared" si="1"/>
        <v>0</v>
      </c>
      <c r="P63" s="56">
        <v>7.0707070707070704E-2</v>
      </c>
      <c r="R63" s="57">
        <v>4.8780487804878044E-2</v>
      </c>
      <c r="S63" s="57">
        <v>6.0975609756097615E-3</v>
      </c>
      <c r="T63" s="57">
        <v>6.0975609756097546E-3</v>
      </c>
      <c r="U63" s="57">
        <v>3.048780487804878E-2</v>
      </c>
      <c r="W63" s="63">
        <f>VLOOKUP(A:A,'[1]2w &amp; 3w'!$A:$D,4,0)</f>
        <v>150</v>
      </c>
      <c r="X63" s="63">
        <f>VLOOKUP(A:A,'[1]2w &amp; 3w'!$A:$C,3,0)</f>
        <v>15</v>
      </c>
      <c r="Y63" s="63">
        <f t="shared" si="5"/>
        <v>135</v>
      </c>
      <c r="Z63" s="46">
        <f t="shared" si="2"/>
        <v>0.1</v>
      </c>
      <c r="AB63" s="63">
        <f>VLOOKUP(A:A,'[1]2w &amp; 3w'!$A:$G,7,0)</f>
        <v>14</v>
      </c>
      <c r="AC63" s="63">
        <f>VLOOKUP(A:A,'[1]2w &amp; 3w'!$A:$F,6,0)</f>
        <v>0</v>
      </c>
      <c r="AD63" s="63">
        <f t="shared" si="6"/>
        <v>14</v>
      </c>
      <c r="AE63" s="46">
        <f t="shared" si="3"/>
        <v>0</v>
      </c>
    </row>
    <row r="64" spans="1:31" x14ac:dyDescent="0.25">
      <c r="A64" s="61" t="s">
        <v>72</v>
      </c>
      <c r="B64" s="62"/>
      <c r="C64" s="63">
        <v>1</v>
      </c>
      <c r="D64" s="62" t="s">
        <v>73</v>
      </c>
      <c r="E64" s="62"/>
      <c r="F64" s="63">
        <f>VLOOKUP(A:A,[1]Sheet1!$A:$D,4,0)</f>
        <v>47</v>
      </c>
      <c r="G64" s="63">
        <f>VLOOKUP(A:A,[1]Sheet1!$A:$C,3,0)</f>
        <v>6</v>
      </c>
      <c r="H64" s="64">
        <f t="shared" si="59"/>
        <v>41</v>
      </c>
      <c r="I64" s="55">
        <f t="shared" ref="I64:I137" si="61">G64/F64</f>
        <v>0.1276595744680851</v>
      </c>
      <c r="K64" s="65">
        <f t="shared" si="60"/>
        <v>5.64</v>
      </c>
      <c r="L64" s="63"/>
      <c r="M64" s="64">
        <f t="shared" si="4"/>
        <v>5.64</v>
      </c>
      <c r="N64" s="46">
        <f t="shared" si="1"/>
        <v>0</v>
      </c>
      <c r="P64" s="56">
        <v>0.17857142857142858</v>
      </c>
      <c r="R64" s="57">
        <v>8.5106382978723388E-2</v>
      </c>
      <c r="S64" s="57">
        <v>2.1276595744680851E-2</v>
      </c>
      <c r="T64" s="57">
        <v>0</v>
      </c>
      <c r="U64" s="57">
        <v>2.1276595744680851E-2</v>
      </c>
      <c r="W64" s="63">
        <f>VLOOKUP(A:A,'[1]2w &amp; 3w'!$A:$D,4,0)</f>
        <v>23</v>
      </c>
      <c r="X64" s="63">
        <f>VLOOKUP(A:A,'[1]2w &amp; 3w'!$A:$C,3,0)</f>
        <v>0</v>
      </c>
      <c r="Y64" s="63">
        <f t="shared" si="5"/>
        <v>23</v>
      </c>
      <c r="Z64" s="46">
        <f t="shared" si="2"/>
        <v>0</v>
      </c>
      <c r="AB64" s="63">
        <f>VLOOKUP(A:A,'[1]2w &amp; 3w'!$A:$G,7,0)</f>
        <v>24</v>
      </c>
      <c r="AC64" s="63">
        <f>VLOOKUP(A:A,'[1]2w &amp; 3w'!$A:$F,6,0)</f>
        <v>6</v>
      </c>
      <c r="AD64" s="63">
        <f t="shared" si="6"/>
        <v>18</v>
      </c>
      <c r="AE64" s="46">
        <f t="shared" si="3"/>
        <v>0.25</v>
      </c>
    </row>
    <row r="65" spans="1:31" x14ac:dyDescent="0.25">
      <c r="A65" s="61" t="s">
        <v>74</v>
      </c>
      <c r="B65" s="62"/>
      <c r="C65" s="63">
        <v>1</v>
      </c>
      <c r="D65" s="62"/>
      <c r="E65" s="62"/>
      <c r="F65" s="63">
        <f>VLOOKUP(A:A,[1]Sheet1!$A:$D,4,0)</f>
        <v>71</v>
      </c>
      <c r="G65" s="63">
        <f>VLOOKUP(A:A,[1]Sheet1!$A:$C,3,0)</f>
        <v>9</v>
      </c>
      <c r="H65" s="64">
        <f t="shared" si="59"/>
        <v>62</v>
      </c>
      <c r="I65" s="55">
        <f t="shared" si="61"/>
        <v>0.12676056338028169</v>
      </c>
      <c r="K65" s="65">
        <f t="shared" si="60"/>
        <v>8.52</v>
      </c>
      <c r="L65" s="63"/>
      <c r="M65" s="64">
        <f t="shared" si="4"/>
        <v>8.52</v>
      </c>
      <c r="N65" s="46">
        <f t="shared" si="1"/>
        <v>0</v>
      </c>
      <c r="P65" s="56">
        <v>0.19718309859154928</v>
      </c>
      <c r="R65" s="57">
        <v>4.2253521126760563E-2</v>
      </c>
      <c r="S65" s="57">
        <v>7.0422535211267609E-2</v>
      </c>
      <c r="T65" s="57">
        <v>0</v>
      </c>
      <c r="U65" s="57">
        <v>1.4084507042253521E-2</v>
      </c>
      <c r="W65" s="63">
        <f>VLOOKUP(A:A,'[1]2w &amp; 3w'!$A:$D,4,0)</f>
        <v>69</v>
      </c>
      <c r="X65" s="63">
        <f>VLOOKUP(A:A,'[1]2w &amp; 3w'!$A:$C,3,0)</f>
        <v>9</v>
      </c>
      <c r="Y65" s="63">
        <f t="shared" si="5"/>
        <v>60</v>
      </c>
      <c r="Z65" s="46">
        <f t="shared" si="2"/>
        <v>0.13043478260869565</v>
      </c>
      <c r="AB65" s="63">
        <f>VLOOKUP(A:A,'[1]2w &amp; 3w'!$A:$G,7,0)</f>
        <v>2</v>
      </c>
      <c r="AC65" s="63">
        <f>VLOOKUP(A:A,'[1]2w &amp; 3w'!$A:$F,6,0)</f>
        <v>0</v>
      </c>
      <c r="AD65" s="63">
        <f t="shared" si="6"/>
        <v>2</v>
      </c>
      <c r="AE65" s="46">
        <f t="shared" si="3"/>
        <v>0</v>
      </c>
    </row>
    <row r="66" spans="1:31" x14ac:dyDescent="0.25">
      <c r="A66" s="67" t="s">
        <v>75</v>
      </c>
      <c r="B66" s="59"/>
      <c r="C66" s="51">
        <f>C67</f>
        <v>3</v>
      </c>
      <c r="D66" s="59"/>
      <c r="E66" s="59"/>
      <c r="F66" s="51">
        <f t="shared" ref="F66:H66" si="62">F67</f>
        <v>261</v>
      </c>
      <c r="G66" s="51">
        <f t="shared" si="62"/>
        <v>36</v>
      </c>
      <c r="H66" s="51">
        <f t="shared" si="62"/>
        <v>225</v>
      </c>
      <c r="I66" s="55">
        <f t="shared" si="61"/>
        <v>0.13793103448275862</v>
      </c>
      <c r="K66" s="72">
        <f t="shared" ref="K66:M66" si="63">K67</f>
        <v>31.32</v>
      </c>
      <c r="L66" s="72">
        <f t="shared" si="63"/>
        <v>0</v>
      </c>
      <c r="M66" s="72">
        <f t="shared" si="63"/>
        <v>31.32</v>
      </c>
      <c r="N66" s="46">
        <f t="shared" si="1"/>
        <v>0</v>
      </c>
      <c r="P66" s="56">
        <v>0.12264150943396226</v>
      </c>
      <c r="R66" s="57">
        <v>4.980842911877395E-2</v>
      </c>
      <c r="S66" s="57">
        <v>1.5325670498084282E-2</v>
      </c>
      <c r="T66" s="57">
        <v>3.8314176245210732E-2</v>
      </c>
      <c r="U66" s="57">
        <v>3.4482758620689655E-2</v>
      </c>
      <c r="W66" s="72">
        <f t="shared" ref="W66:Y66" si="64">W67</f>
        <v>180</v>
      </c>
      <c r="X66" s="72">
        <f t="shared" si="64"/>
        <v>24</v>
      </c>
      <c r="Y66" s="72">
        <f t="shared" si="64"/>
        <v>156</v>
      </c>
      <c r="Z66" s="46">
        <f t="shared" si="2"/>
        <v>0.13333333333333333</v>
      </c>
      <c r="AB66" s="72">
        <f t="shared" ref="AB66:AD66" si="65">AB67</f>
        <v>81</v>
      </c>
      <c r="AC66" s="72">
        <f t="shared" si="65"/>
        <v>12</v>
      </c>
      <c r="AD66" s="72">
        <f t="shared" si="65"/>
        <v>69</v>
      </c>
      <c r="AE66" s="46">
        <f t="shared" si="3"/>
        <v>0.14814814814814814</v>
      </c>
    </row>
    <row r="67" spans="1:31" x14ac:dyDescent="0.25">
      <c r="A67" s="61" t="s">
        <v>76</v>
      </c>
      <c r="B67" s="62" t="s">
        <v>77</v>
      </c>
      <c r="C67" s="63">
        <v>3</v>
      </c>
      <c r="D67" s="63"/>
      <c r="E67" s="63"/>
      <c r="F67" s="63">
        <f>VLOOKUP(A:A,[1]Sheet1!$A:$D,4,0)</f>
        <v>261</v>
      </c>
      <c r="G67" s="63">
        <f>VLOOKUP(A:A,[1]Sheet1!$A:$C,3,0)</f>
        <v>36</v>
      </c>
      <c r="H67" s="64">
        <f>F67-G67</f>
        <v>225</v>
      </c>
      <c r="I67" s="55">
        <f t="shared" si="61"/>
        <v>0.13793103448275862</v>
      </c>
      <c r="K67" s="65">
        <f>F67*12/100</f>
        <v>31.32</v>
      </c>
      <c r="L67" s="63"/>
      <c r="M67" s="64">
        <f t="shared" si="4"/>
        <v>31.32</v>
      </c>
      <c r="N67" s="46">
        <f t="shared" ref="N67:N129" si="66">L67/F67</f>
        <v>0</v>
      </c>
      <c r="P67" s="56">
        <v>0.12264150943396226</v>
      </c>
      <c r="R67" s="57">
        <v>4.980842911877395E-2</v>
      </c>
      <c r="S67" s="57">
        <v>1.5325670498084282E-2</v>
      </c>
      <c r="T67" s="57">
        <v>3.8314176245210732E-2</v>
      </c>
      <c r="U67" s="57">
        <v>3.4482758620689655E-2</v>
      </c>
      <c r="W67" s="63">
        <f>VLOOKUP(A:A,'[1]2w &amp; 3w'!$A:$D,4,0)</f>
        <v>180</v>
      </c>
      <c r="X67" s="63">
        <f>VLOOKUP(A:A,'[1]2w &amp; 3w'!$A:$C,3,0)</f>
        <v>24</v>
      </c>
      <c r="Y67" s="63">
        <f t="shared" ref="Y67:Y129" si="67">W67-X67</f>
        <v>156</v>
      </c>
      <c r="Z67" s="46">
        <f t="shared" si="2"/>
        <v>0.13333333333333333</v>
      </c>
      <c r="AB67" s="63">
        <f>VLOOKUP(A:A,'[1]2w &amp; 3w'!$A:$G,7,0)</f>
        <v>81</v>
      </c>
      <c r="AC67" s="63">
        <f>VLOOKUP(A:A,'[1]2w &amp; 3w'!$A:$F,6,0)</f>
        <v>12</v>
      </c>
      <c r="AD67" s="63">
        <f t="shared" ref="AD67:AD129" si="68">AB67-AC67</f>
        <v>69</v>
      </c>
      <c r="AE67" s="46">
        <f t="shared" si="3"/>
        <v>0.14814814814814814</v>
      </c>
    </row>
    <row r="68" spans="1:31" x14ac:dyDescent="0.25">
      <c r="A68" s="76" t="s">
        <v>78</v>
      </c>
      <c r="B68" s="53"/>
      <c r="C68" s="77">
        <f>C69+C75</f>
        <v>8</v>
      </c>
      <c r="D68" s="76"/>
      <c r="E68" s="76"/>
      <c r="F68" s="77">
        <f>F69+F75</f>
        <v>979</v>
      </c>
      <c r="G68" s="77">
        <f>G69+G75</f>
        <v>72</v>
      </c>
      <c r="H68" s="77">
        <f>H69+H75</f>
        <v>907</v>
      </c>
      <c r="I68" s="55">
        <f t="shared" si="61"/>
        <v>7.3544433094994893E-2</v>
      </c>
      <c r="K68" s="77">
        <f>K69+K75</f>
        <v>117.48000000000002</v>
      </c>
      <c r="L68" s="77">
        <f>L69+L75</f>
        <v>0</v>
      </c>
      <c r="M68" s="77">
        <f>M69+M75</f>
        <v>117.48000000000002</v>
      </c>
      <c r="N68" s="46">
        <f t="shared" si="66"/>
        <v>0</v>
      </c>
      <c r="P68" s="56">
        <v>0.10175695461200586</v>
      </c>
      <c r="R68" s="57">
        <v>4.3922369765066395E-2</v>
      </c>
      <c r="S68" s="57">
        <v>1.9407558733401428E-2</v>
      </c>
      <c r="T68" s="57">
        <v>6.1287027579162408E-3</v>
      </c>
      <c r="U68" s="57">
        <v>4.0858018386108275E-3</v>
      </c>
      <c r="W68" s="77">
        <f>W69+W75</f>
        <v>870</v>
      </c>
      <c r="X68" s="77">
        <f>X69+X75</f>
        <v>54</v>
      </c>
      <c r="Y68" s="77">
        <f>Y69+Y75</f>
        <v>816</v>
      </c>
      <c r="Z68" s="46">
        <f t="shared" ref="Z68:Z130" si="69">X68/W68</f>
        <v>6.2068965517241378E-2</v>
      </c>
      <c r="AB68" s="77">
        <f>AB69+AB75</f>
        <v>109</v>
      </c>
      <c r="AC68" s="77">
        <f>AC69+AC75</f>
        <v>18</v>
      </c>
      <c r="AD68" s="77">
        <f>AD69+AD75</f>
        <v>91</v>
      </c>
      <c r="AE68" s="46">
        <f t="shared" ref="AE68:AE130" si="70">AC68/AB68</f>
        <v>0.16513761467889909</v>
      </c>
    </row>
    <row r="69" spans="1:31" x14ac:dyDescent="0.25">
      <c r="A69" s="67" t="s">
        <v>79</v>
      </c>
      <c r="B69" s="59"/>
      <c r="C69" s="51">
        <f>SUM(C70:C74)</f>
        <v>4</v>
      </c>
      <c r="D69" s="59"/>
      <c r="E69" s="59"/>
      <c r="F69" s="51">
        <f>SUM(F70:F74)</f>
        <v>544</v>
      </c>
      <c r="G69" s="51">
        <f t="shared" ref="G69:H69" si="71">SUM(G70:G74)</f>
        <v>38</v>
      </c>
      <c r="H69" s="51">
        <f t="shared" si="71"/>
        <v>506</v>
      </c>
      <c r="I69" s="55">
        <f t="shared" si="61"/>
        <v>6.985294117647059E-2</v>
      </c>
      <c r="K69" s="72">
        <f>SUM(K70:K74)</f>
        <v>65.28</v>
      </c>
      <c r="L69" s="72">
        <f t="shared" ref="L69:M69" si="72">SUM(L70:L74)</f>
        <v>0</v>
      </c>
      <c r="M69" s="72">
        <f t="shared" si="72"/>
        <v>65.28</v>
      </c>
      <c r="N69" s="46">
        <f t="shared" si="66"/>
        <v>0</v>
      </c>
      <c r="P69" s="56">
        <v>8.6872586872586879E-2</v>
      </c>
      <c r="R69" s="57">
        <v>4.595588235294118E-2</v>
      </c>
      <c r="S69" s="57">
        <v>1.4705882352941175E-2</v>
      </c>
      <c r="T69" s="57">
        <v>3.6764705882352941E-3</v>
      </c>
      <c r="U69" s="57">
        <v>5.5147058823529415E-3</v>
      </c>
      <c r="W69" s="72">
        <f>SUM(W70:W74)</f>
        <v>496</v>
      </c>
      <c r="X69" s="72">
        <f t="shared" ref="X69:Y69" si="73">SUM(X70:X74)</f>
        <v>29</v>
      </c>
      <c r="Y69" s="72">
        <f t="shared" si="73"/>
        <v>467</v>
      </c>
      <c r="Z69" s="46">
        <f t="shared" si="69"/>
        <v>5.8467741935483868E-2</v>
      </c>
      <c r="AB69" s="72">
        <f>SUM(AB70:AB74)</f>
        <v>48</v>
      </c>
      <c r="AC69" s="72">
        <f t="shared" ref="AC69:AD69" si="74">SUM(AC70:AC74)</f>
        <v>9</v>
      </c>
      <c r="AD69" s="72">
        <f t="shared" si="74"/>
        <v>39</v>
      </c>
      <c r="AE69" s="46">
        <f t="shared" si="70"/>
        <v>0.1875</v>
      </c>
    </row>
    <row r="70" spans="1:31" x14ac:dyDescent="0.25">
      <c r="A70" s="61" t="s">
        <v>80</v>
      </c>
      <c r="B70" s="62"/>
      <c r="C70" s="63">
        <v>2</v>
      </c>
      <c r="D70" s="63"/>
      <c r="E70" s="63"/>
      <c r="F70" s="63">
        <f>VLOOKUP(A:A,[1]Sheet1!$A:$D,4,0)</f>
        <v>148</v>
      </c>
      <c r="G70" s="63">
        <f>VLOOKUP(A:A,[1]Sheet1!$A:$C,3,0)</f>
        <v>11</v>
      </c>
      <c r="H70" s="64">
        <f t="shared" ref="H70" si="75">F70-G70</f>
        <v>137</v>
      </c>
      <c r="I70" s="55">
        <f t="shared" si="61"/>
        <v>7.4324324324324328E-2</v>
      </c>
      <c r="K70" s="65">
        <f t="shared" ref="K70:K74" si="76">F70*12/100</f>
        <v>17.760000000000002</v>
      </c>
      <c r="L70" s="63"/>
      <c r="M70" s="64">
        <f t="shared" ref="M70:M73" si="77">K70-L70</f>
        <v>17.760000000000002</v>
      </c>
      <c r="N70" s="46">
        <f t="shared" si="66"/>
        <v>0</v>
      </c>
      <c r="P70" s="56">
        <v>6.8965517241379309E-2</v>
      </c>
      <c r="R70" s="57">
        <v>6.0810810810810814E-2</v>
      </c>
      <c r="S70" s="57">
        <v>1.3513513513513514E-2</v>
      </c>
      <c r="T70" s="57">
        <v>0</v>
      </c>
      <c r="U70" s="57">
        <v>0</v>
      </c>
      <c r="W70" s="63">
        <f>VLOOKUP(A:A,'[1]2w &amp; 3w'!$A:$D,4,0)</f>
        <v>122</v>
      </c>
      <c r="X70" s="63">
        <f>VLOOKUP(A:A,'[1]2w &amp; 3w'!$A:$C,3,0)</f>
        <v>6</v>
      </c>
      <c r="Y70" s="63">
        <f t="shared" si="67"/>
        <v>116</v>
      </c>
      <c r="Z70" s="46">
        <f t="shared" si="69"/>
        <v>4.9180327868852458E-2</v>
      </c>
      <c r="AB70" s="63">
        <f>VLOOKUP(A:A,'[1]2w &amp; 3w'!$A:$G,7,0)</f>
        <v>26</v>
      </c>
      <c r="AC70" s="63">
        <f>VLOOKUP(A:A,'[1]2w &amp; 3w'!$A:$F,6,0)</f>
        <v>5</v>
      </c>
      <c r="AD70" s="63">
        <f t="shared" si="68"/>
        <v>21</v>
      </c>
      <c r="AE70" s="46">
        <f t="shared" si="70"/>
        <v>0.19230769230769232</v>
      </c>
    </row>
    <row r="71" spans="1:31" x14ac:dyDescent="0.25">
      <c r="A71" s="61" t="s">
        <v>81</v>
      </c>
      <c r="B71" s="62"/>
      <c r="C71" s="63"/>
      <c r="D71" s="63" t="s">
        <v>50</v>
      </c>
      <c r="E71" s="63"/>
      <c r="F71" s="63">
        <f>VLOOKUP(A:A,[1]Sheet1!$A:$D,4,0)</f>
        <v>116</v>
      </c>
      <c r="G71" s="63">
        <f>VLOOKUP(A:A,[1]Sheet1!$A:$C,3,0)</f>
        <v>18</v>
      </c>
      <c r="H71" s="64">
        <f>F71-G71</f>
        <v>98</v>
      </c>
      <c r="I71" s="55">
        <f t="shared" si="61"/>
        <v>0.15517241379310345</v>
      </c>
      <c r="K71" s="65">
        <f t="shared" si="76"/>
        <v>13.92</v>
      </c>
      <c r="L71" s="63"/>
      <c r="M71" s="64">
        <f t="shared" si="77"/>
        <v>13.92</v>
      </c>
      <c r="N71" s="46">
        <f t="shared" si="66"/>
        <v>0</v>
      </c>
      <c r="P71" s="56">
        <v>0.1038961038961039</v>
      </c>
      <c r="R71" s="57">
        <v>7.7586206896551727E-2</v>
      </c>
      <c r="S71" s="57">
        <v>3.4482758620689655E-2</v>
      </c>
      <c r="T71" s="57">
        <v>1.7241379310344831E-2</v>
      </c>
      <c r="U71" s="57">
        <v>2.5862068965517241E-2</v>
      </c>
      <c r="W71" s="63">
        <f>VLOOKUP(A:A,'[1]2w &amp; 3w'!$A:$D,4,0)</f>
        <v>105</v>
      </c>
      <c r="X71" s="63">
        <f>VLOOKUP(A:A,'[1]2w &amp; 3w'!$A:$C,3,0)</f>
        <v>16</v>
      </c>
      <c r="Y71" s="63">
        <f t="shared" si="67"/>
        <v>89</v>
      </c>
      <c r="Z71" s="46">
        <f t="shared" si="69"/>
        <v>0.15238095238095239</v>
      </c>
      <c r="AB71" s="63">
        <f>VLOOKUP(A:A,'[1]2w &amp; 3w'!$A:$G,7,0)</f>
        <v>11</v>
      </c>
      <c r="AC71" s="63">
        <f>VLOOKUP(A:A,'[1]2w &amp; 3w'!$A:$F,6,0)</f>
        <v>2</v>
      </c>
      <c r="AD71" s="63">
        <f t="shared" si="68"/>
        <v>9</v>
      </c>
      <c r="AE71" s="46">
        <f t="shared" si="70"/>
        <v>0.18181818181818182</v>
      </c>
    </row>
    <row r="72" spans="1:31" x14ac:dyDescent="0.25">
      <c r="A72" s="61" t="s">
        <v>82</v>
      </c>
      <c r="B72" s="62"/>
      <c r="C72" s="63"/>
      <c r="D72" s="63" t="s">
        <v>50</v>
      </c>
      <c r="E72" s="62"/>
      <c r="F72" s="63">
        <f>VLOOKUP(A:A,[1]Sheet1!$A:$D,4,0)</f>
        <v>79</v>
      </c>
      <c r="G72" s="63">
        <f>VLOOKUP(A:A,[1]Sheet1!$A:$C,3,0)</f>
        <v>1</v>
      </c>
      <c r="H72" s="64">
        <f>F72-G72</f>
        <v>78</v>
      </c>
      <c r="I72" s="55">
        <f>G72/F72</f>
        <v>1.2658227848101266E-2</v>
      </c>
      <c r="K72" s="65">
        <f t="shared" si="76"/>
        <v>9.48</v>
      </c>
      <c r="L72" s="63"/>
      <c r="M72" s="64">
        <f t="shared" si="77"/>
        <v>9.48</v>
      </c>
      <c r="N72" s="46">
        <f t="shared" si="66"/>
        <v>0</v>
      </c>
      <c r="P72" s="56">
        <v>0.10833333333333334</v>
      </c>
      <c r="R72" s="57">
        <v>1.2658227848101266E-2</v>
      </c>
      <c r="S72" s="57">
        <v>0</v>
      </c>
      <c r="T72" s="57">
        <v>0</v>
      </c>
      <c r="U72" s="57">
        <v>0</v>
      </c>
      <c r="W72" s="63">
        <f>VLOOKUP(A:A,'[1]2w &amp; 3w'!$A:$D,4,0)</f>
        <v>78</v>
      </c>
      <c r="X72" s="63">
        <f>VLOOKUP(A:A,'[1]2w &amp; 3w'!$A:$C,3,0)</f>
        <v>1</v>
      </c>
      <c r="Y72" s="63">
        <f t="shared" si="67"/>
        <v>77</v>
      </c>
      <c r="Z72" s="46">
        <f t="shared" si="69"/>
        <v>1.282051282051282E-2</v>
      </c>
      <c r="AB72" s="63">
        <f>VLOOKUP(A:A,'[1]2w &amp; 3w'!$A:$G,7,0)</f>
        <v>1</v>
      </c>
      <c r="AC72" s="63">
        <f>VLOOKUP(A:A,'[1]2w &amp; 3w'!$A:$F,6,0)</f>
        <v>0</v>
      </c>
      <c r="AD72" s="63">
        <f t="shared" si="68"/>
        <v>1</v>
      </c>
      <c r="AE72" s="46">
        <f t="shared" si="70"/>
        <v>0</v>
      </c>
    </row>
    <row r="73" spans="1:31" x14ac:dyDescent="0.25">
      <c r="A73" s="61" t="s">
        <v>83</v>
      </c>
      <c r="B73" s="62"/>
      <c r="C73" s="63">
        <v>1</v>
      </c>
      <c r="D73" s="63"/>
      <c r="E73" s="63"/>
      <c r="F73" s="63">
        <f>VLOOKUP(A:A,[1]Sheet1!$A:$D,4,0)</f>
        <v>79</v>
      </c>
      <c r="G73" s="63">
        <f>VLOOKUP(A:A,[1]Sheet1!$A:$C,3,0)</f>
        <v>5</v>
      </c>
      <c r="H73" s="64">
        <f>F73-G73</f>
        <v>74</v>
      </c>
      <c r="I73" s="55">
        <f t="shared" si="61"/>
        <v>6.3291139240506333E-2</v>
      </c>
      <c r="K73" s="65">
        <f t="shared" si="76"/>
        <v>9.48</v>
      </c>
      <c r="L73" s="63"/>
      <c r="M73" s="64">
        <f t="shared" si="77"/>
        <v>9.48</v>
      </c>
      <c r="N73" s="46">
        <f t="shared" si="66"/>
        <v>0</v>
      </c>
      <c r="P73" s="56">
        <v>2.7777777777777776E-2</v>
      </c>
      <c r="R73" s="57">
        <v>3.7974683544303806E-2</v>
      </c>
      <c r="S73" s="57">
        <v>2.5316455696202531E-2</v>
      </c>
      <c r="T73" s="57">
        <v>0</v>
      </c>
      <c r="U73" s="57">
        <v>0</v>
      </c>
      <c r="W73" s="63">
        <f>VLOOKUP(A:A,'[1]2w &amp; 3w'!$A:$D,4,0)</f>
        <v>72</v>
      </c>
      <c r="X73" s="63">
        <f>VLOOKUP(A:A,'[1]2w &amp; 3w'!$A:$C,3,0)</f>
        <v>4</v>
      </c>
      <c r="Y73" s="63">
        <f t="shared" si="67"/>
        <v>68</v>
      </c>
      <c r="Z73" s="46">
        <f t="shared" si="69"/>
        <v>5.5555555555555552E-2</v>
      </c>
      <c r="AB73" s="63">
        <f>VLOOKUP(A:A,'[1]2w &amp; 3w'!$A:$G,7,0)</f>
        <v>7</v>
      </c>
      <c r="AC73" s="63">
        <f>VLOOKUP(A:A,'[1]2w &amp; 3w'!$A:$F,6,0)</f>
        <v>1</v>
      </c>
      <c r="AD73" s="63">
        <f t="shared" si="68"/>
        <v>6</v>
      </c>
      <c r="AE73" s="46">
        <f t="shared" si="70"/>
        <v>0.14285714285714285</v>
      </c>
    </row>
    <row r="74" spans="1:31" x14ac:dyDescent="0.25">
      <c r="A74" s="61" t="s">
        <v>84</v>
      </c>
      <c r="B74" s="62"/>
      <c r="C74" s="63">
        <v>1</v>
      </c>
      <c r="D74" s="62"/>
      <c r="E74" s="63"/>
      <c r="F74" s="63">
        <f>VLOOKUP(A:A,[1]Sheet1!$A:$D,4,0)</f>
        <v>122</v>
      </c>
      <c r="G74" s="63">
        <f>VLOOKUP(A:A,[1]Sheet1!$A:$C,3,0)</f>
        <v>3</v>
      </c>
      <c r="H74" s="64">
        <f>F74-G74</f>
        <v>119</v>
      </c>
      <c r="I74" s="55">
        <f>G74/F74</f>
        <v>2.4590163934426229E-2</v>
      </c>
      <c r="K74" s="65">
        <f t="shared" si="76"/>
        <v>14.64</v>
      </c>
      <c r="L74" s="63"/>
      <c r="M74" s="64">
        <f>K74-L74</f>
        <v>14.64</v>
      </c>
      <c r="N74" s="46">
        <f>L74/F74</f>
        <v>0</v>
      </c>
      <c r="P74" s="56">
        <v>0.1271186440677966</v>
      </c>
      <c r="R74" s="57">
        <v>2.4590163934426229E-2</v>
      </c>
      <c r="S74" s="57">
        <v>0</v>
      </c>
      <c r="T74" s="57">
        <v>0</v>
      </c>
      <c r="U74" s="57">
        <v>0</v>
      </c>
      <c r="W74" s="63">
        <f>VLOOKUP(A:A,'[1]2w &amp; 3w'!$A:$D,4,0)</f>
        <v>119</v>
      </c>
      <c r="X74" s="63">
        <f>VLOOKUP(A:A,'[1]2w &amp; 3w'!$A:$C,3,0)</f>
        <v>2</v>
      </c>
      <c r="Y74" s="63">
        <f t="shared" si="67"/>
        <v>117</v>
      </c>
      <c r="Z74" s="46">
        <f t="shared" si="69"/>
        <v>1.680672268907563E-2</v>
      </c>
      <c r="AB74" s="63">
        <f>VLOOKUP(A:A,'[1]2w &amp; 3w'!$A:$G,7,0)</f>
        <v>3</v>
      </c>
      <c r="AC74" s="63">
        <f>VLOOKUP(A:A,'[1]2w &amp; 3w'!$A:$F,6,0)</f>
        <v>1</v>
      </c>
      <c r="AD74" s="63">
        <f t="shared" si="68"/>
        <v>2</v>
      </c>
      <c r="AE74" s="46">
        <f t="shared" si="70"/>
        <v>0.33333333333333331</v>
      </c>
    </row>
    <row r="75" spans="1:31" x14ac:dyDescent="0.25">
      <c r="A75" s="67" t="s">
        <v>85</v>
      </c>
      <c r="B75" s="59"/>
      <c r="C75" s="51">
        <f>SUM(C76:C79)</f>
        <v>4</v>
      </c>
      <c r="D75" s="51"/>
      <c r="E75" s="51"/>
      <c r="F75" s="51">
        <f>SUM(F76:F79)</f>
        <v>435</v>
      </c>
      <c r="G75" s="51">
        <f>SUM(G76:G79)</f>
        <v>34</v>
      </c>
      <c r="H75" s="51">
        <f>SUM(H76:H79)</f>
        <v>401</v>
      </c>
      <c r="I75" s="55">
        <f t="shared" si="61"/>
        <v>7.8160919540229884E-2</v>
      </c>
      <c r="K75" s="72">
        <f>SUM(K76:K79)</f>
        <v>52.20000000000001</v>
      </c>
      <c r="L75" s="72">
        <f>SUM(L76:L79)</f>
        <v>0</v>
      </c>
      <c r="M75" s="72">
        <f>SUM(M76:M79)</f>
        <v>52.20000000000001</v>
      </c>
      <c r="N75" s="46">
        <f t="shared" si="66"/>
        <v>0</v>
      </c>
      <c r="P75" s="56">
        <v>0.11623246492985972</v>
      </c>
      <c r="R75" s="57">
        <v>4.1379310344827586E-2</v>
      </c>
      <c r="S75" s="57">
        <v>2.528735632183908E-2</v>
      </c>
      <c r="T75" s="57">
        <v>9.1954022988505746E-3</v>
      </c>
      <c r="U75" s="57">
        <v>2.2988505747126436E-3</v>
      </c>
      <c r="W75" s="72">
        <f>SUM(W76:W79)</f>
        <v>374</v>
      </c>
      <c r="X75" s="72">
        <f>SUM(X76:X79)</f>
        <v>25</v>
      </c>
      <c r="Y75" s="72">
        <f>SUM(Y76:Y79)</f>
        <v>349</v>
      </c>
      <c r="Z75" s="46">
        <f t="shared" si="69"/>
        <v>6.684491978609626E-2</v>
      </c>
      <c r="AB75" s="72">
        <f>SUM(AB76:AB79)</f>
        <v>61</v>
      </c>
      <c r="AC75" s="72">
        <f>SUM(AC76:AC79)</f>
        <v>9</v>
      </c>
      <c r="AD75" s="72">
        <f>SUM(AD76:AD79)</f>
        <v>52</v>
      </c>
      <c r="AE75" s="46">
        <f t="shared" si="70"/>
        <v>0.14754098360655737</v>
      </c>
    </row>
    <row r="76" spans="1:31" x14ac:dyDescent="0.25">
      <c r="A76" s="61" t="s">
        <v>86</v>
      </c>
      <c r="B76" s="62"/>
      <c r="C76" s="63">
        <v>2</v>
      </c>
      <c r="D76" s="63"/>
      <c r="E76" s="63"/>
      <c r="F76" s="63">
        <f>VLOOKUP(A:A,[1]Sheet1!$A:$D,4,0)</f>
        <v>151</v>
      </c>
      <c r="G76" s="63">
        <f>VLOOKUP(A:A,[1]Sheet1!$A:$C,3,0)</f>
        <v>19</v>
      </c>
      <c r="H76" s="64">
        <f>F76-G76</f>
        <v>132</v>
      </c>
      <c r="I76" s="55">
        <f t="shared" si="61"/>
        <v>0.12582781456953643</v>
      </c>
      <c r="K76" s="65">
        <f t="shared" ref="K76:K79" si="78">F76*12/100</f>
        <v>18.12</v>
      </c>
      <c r="L76" s="63"/>
      <c r="M76" s="64">
        <f t="shared" ref="M76:M138" si="79">K76-L76</f>
        <v>18.12</v>
      </c>
      <c r="N76" s="46">
        <f t="shared" si="66"/>
        <v>0</v>
      </c>
      <c r="P76" s="56">
        <v>0.10824742268041238</v>
      </c>
      <c r="R76" s="57">
        <v>7.9470198675496692E-2</v>
      </c>
      <c r="S76" s="57">
        <v>1.9867549668874173E-2</v>
      </c>
      <c r="T76" s="57">
        <v>1.9867549668874173E-2</v>
      </c>
      <c r="U76" s="57">
        <v>6.6225165562913907E-3</v>
      </c>
      <c r="W76" s="63">
        <f>VLOOKUP(A:A,'[1]2w &amp; 3w'!$A:$D,4,0)</f>
        <v>135</v>
      </c>
      <c r="X76" s="63">
        <f>VLOOKUP(A:A,'[1]2w &amp; 3w'!$A:$C,3,0)</f>
        <v>17</v>
      </c>
      <c r="Y76" s="63">
        <f t="shared" si="67"/>
        <v>118</v>
      </c>
      <c r="Z76" s="46">
        <f t="shared" si="69"/>
        <v>0.12592592592592591</v>
      </c>
      <c r="AB76" s="63">
        <f>VLOOKUP(A:A,'[1]2w &amp; 3w'!$A:$G,7,0)</f>
        <v>16</v>
      </c>
      <c r="AC76" s="63">
        <f>VLOOKUP(A:A,'[1]2w &amp; 3w'!$A:$F,6,0)</f>
        <v>2</v>
      </c>
      <c r="AD76" s="63">
        <f t="shared" si="68"/>
        <v>14</v>
      </c>
      <c r="AE76" s="46">
        <f t="shared" si="70"/>
        <v>0.125</v>
      </c>
    </row>
    <row r="77" spans="1:31" x14ac:dyDescent="0.25">
      <c r="A77" s="61" t="s">
        <v>87</v>
      </c>
      <c r="B77" s="62"/>
      <c r="C77" s="63"/>
      <c r="D77" s="62" t="s">
        <v>50</v>
      </c>
      <c r="E77" s="62"/>
      <c r="F77" s="63">
        <f>VLOOKUP(A:A,[1]Sheet1!$A:$D,4,0)</f>
        <v>125</v>
      </c>
      <c r="G77" s="63">
        <f>VLOOKUP(A:A,[1]Sheet1!$A:$C,3,0)</f>
        <v>4</v>
      </c>
      <c r="H77" s="64">
        <f>F77-G77</f>
        <v>121</v>
      </c>
      <c r="I77" s="55">
        <f>G77/F77</f>
        <v>3.2000000000000001E-2</v>
      </c>
      <c r="K77" s="65">
        <f t="shared" si="78"/>
        <v>15</v>
      </c>
      <c r="L77" s="63"/>
      <c r="M77" s="64">
        <f>K77-L77</f>
        <v>15</v>
      </c>
      <c r="N77" s="46">
        <f>L77/F77</f>
        <v>0</v>
      </c>
      <c r="P77" s="56">
        <v>0.1015625</v>
      </c>
      <c r="R77" s="57">
        <v>8.0000000000000002E-3</v>
      </c>
      <c r="S77" s="57">
        <v>1.6E-2</v>
      </c>
      <c r="T77" s="57">
        <v>8.0000000000000002E-3</v>
      </c>
      <c r="U77" s="57">
        <v>0</v>
      </c>
      <c r="W77" s="63">
        <f>VLOOKUP(A:A,'[1]2w &amp; 3w'!$A:$D,4,0)</f>
        <v>122</v>
      </c>
      <c r="X77" s="63">
        <f>VLOOKUP(A:A,'[1]2w &amp; 3w'!$A:$C,3,0)</f>
        <v>4</v>
      </c>
      <c r="Y77" s="63">
        <f t="shared" si="67"/>
        <v>118</v>
      </c>
      <c r="Z77" s="46">
        <f t="shared" si="69"/>
        <v>3.2786885245901641E-2</v>
      </c>
      <c r="AB77" s="63">
        <f>VLOOKUP(A:A,'[1]2w &amp; 3w'!$A:$G,7,0)</f>
        <v>3</v>
      </c>
      <c r="AC77" s="63">
        <f>VLOOKUP(A:A,'[1]2w &amp; 3w'!$A:$F,6,0)</f>
        <v>0</v>
      </c>
      <c r="AD77" s="63">
        <f t="shared" si="68"/>
        <v>3</v>
      </c>
      <c r="AE77" s="46">
        <f t="shared" si="70"/>
        <v>0</v>
      </c>
    </row>
    <row r="78" spans="1:31" x14ac:dyDescent="0.25">
      <c r="A78" s="61" t="s">
        <v>88</v>
      </c>
      <c r="B78" s="62"/>
      <c r="C78" s="63">
        <v>1</v>
      </c>
      <c r="D78" s="63"/>
      <c r="E78" s="63"/>
      <c r="F78" s="63">
        <f>VLOOKUP(A:A,[1]Sheet1!$A:$D,4,0)</f>
        <v>79</v>
      </c>
      <c r="G78" s="63">
        <f>VLOOKUP(A:A,[1]Sheet1!$A:$C,3,0)</f>
        <v>5</v>
      </c>
      <c r="H78" s="64">
        <f>F78-G78</f>
        <v>74</v>
      </c>
      <c r="I78" s="55">
        <f t="shared" si="61"/>
        <v>6.3291139240506333E-2</v>
      </c>
      <c r="K78" s="65">
        <f t="shared" si="78"/>
        <v>9.48</v>
      </c>
      <c r="L78" s="63"/>
      <c r="M78" s="64">
        <f>K78-L78</f>
        <v>9.48</v>
      </c>
      <c r="N78" s="46">
        <f t="shared" si="66"/>
        <v>0</v>
      </c>
      <c r="P78" s="56">
        <v>0.11811023622047244</v>
      </c>
      <c r="R78" s="57">
        <v>2.5316455696202535E-2</v>
      </c>
      <c r="S78" s="57">
        <v>3.7974683544303799E-2</v>
      </c>
      <c r="T78" s="57">
        <v>0</v>
      </c>
      <c r="U78" s="57">
        <v>0</v>
      </c>
      <c r="W78" s="63">
        <f>VLOOKUP(A:A,'[1]2w &amp; 3w'!$A:$D,4,0)</f>
        <v>65</v>
      </c>
      <c r="X78" s="63">
        <f>VLOOKUP(A:A,'[1]2w &amp; 3w'!$A:$C,3,0)</f>
        <v>3</v>
      </c>
      <c r="Y78" s="63">
        <f t="shared" si="67"/>
        <v>62</v>
      </c>
      <c r="Z78" s="46">
        <f t="shared" si="69"/>
        <v>4.6153846153846156E-2</v>
      </c>
      <c r="AB78" s="63">
        <f>VLOOKUP(A:A,'[1]2w &amp; 3w'!$A:$G,7,0)</f>
        <v>14</v>
      </c>
      <c r="AC78" s="63">
        <f>VLOOKUP(A:A,'[1]2w &amp; 3w'!$A:$F,6,0)</f>
        <v>2</v>
      </c>
      <c r="AD78" s="63">
        <f t="shared" si="68"/>
        <v>12</v>
      </c>
      <c r="AE78" s="46">
        <f t="shared" si="70"/>
        <v>0.14285714285714285</v>
      </c>
    </row>
    <row r="79" spans="1:31" x14ac:dyDescent="0.25">
      <c r="A79" s="61" t="s">
        <v>89</v>
      </c>
      <c r="B79" s="62"/>
      <c r="C79" s="63">
        <v>1</v>
      </c>
      <c r="D79" s="63"/>
      <c r="E79" s="63"/>
      <c r="F79" s="63">
        <f>VLOOKUP(A:A,[1]Sheet1!$A:$D,4,0)</f>
        <v>80</v>
      </c>
      <c r="G79" s="63">
        <f>VLOOKUP(A:A,[1]Sheet1!$A:$C,3,0)</f>
        <v>6</v>
      </c>
      <c r="H79" s="64">
        <f>F79-G79</f>
        <v>74</v>
      </c>
      <c r="I79" s="55">
        <f>G79/F79</f>
        <v>7.4999999999999997E-2</v>
      </c>
      <c r="K79" s="65">
        <f t="shared" si="78"/>
        <v>9.6</v>
      </c>
      <c r="L79" s="63"/>
      <c r="M79" s="64">
        <f>K79-L79</f>
        <v>9.6</v>
      </c>
      <c r="N79" s="46">
        <f t="shared" si="66"/>
        <v>0</v>
      </c>
      <c r="P79" s="56">
        <v>9.9009900990099015E-2</v>
      </c>
      <c r="R79" s="57">
        <v>3.7499999999999999E-2</v>
      </c>
      <c r="S79" s="57">
        <v>3.7499999999999999E-2</v>
      </c>
      <c r="T79" s="57">
        <v>0</v>
      </c>
      <c r="U79" s="57">
        <v>0</v>
      </c>
      <c r="W79" s="63">
        <f>VLOOKUP(A:A,'[1]2w &amp; 3w'!$A:$D,4,0)</f>
        <v>52</v>
      </c>
      <c r="X79" s="63">
        <f>VLOOKUP(A:A,'[1]2w &amp; 3w'!$A:$C,3,0)</f>
        <v>1</v>
      </c>
      <c r="Y79" s="63">
        <f t="shared" si="67"/>
        <v>51</v>
      </c>
      <c r="Z79" s="46">
        <f t="shared" si="69"/>
        <v>1.9230769230769232E-2</v>
      </c>
      <c r="AB79" s="63">
        <f>VLOOKUP(A:A,'[1]2w &amp; 3w'!$A:$G,7,0)</f>
        <v>28</v>
      </c>
      <c r="AC79" s="63">
        <f>VLOOKUP(A:A,'[1]2w &amp; 3w'!$A:$F,6,0)</f>
        <v>5</v>
      </c>
      <c r="AD79" s="63">
        <f t="shared" si="68"/>
        <v>23</v>
      </c>
      <c r="AE79" s="46">
        <f t="shared" si="70"/>
        <v>0.17857142857142858</v>
      </c>
    </row>
    <row r="80" spans="1:31" x14ac:dyDescent="0.25">
      <c r="A80" s="53" t="s">
        <v>90</v>
      </c>
      <c r="B80" s="53"/>
      <c r="C80" s="54">
        <f>C81+C89+C104+C98+C109</f>
        <v>32</v>
      </c>
      <c r="D80" s="53"/>
      <c r="E80" s="53"/>
      <c r="F80" s="54">
        <f>F81+F89+F104+F98+F109</f>
        <v>3331</v>
      </c>
      <c r="G80" s="54">
        <f>G81+G89+G104+G98+G109</f>
        <v>404</v>
      </c>
      <c r="H80" s="54">
        <f>H81+H89+H104+H98+H109</f>
        <v>2927</v>
      </c>
      <c r="I80" s="55">
        <f t="shared" si="61"/>
        <v>0.12128489942960072</v>
      </c>
      <c r="K80" s="54">
        <f>K81+K89+K104+K98+K109</f>
        <v>399.72</v>
      </c>
      <c r="L80" s="54">
        <f>L81+L89+L104+L98+L109</f>
        <v>0</v>
      </c>
      <c r="M80" s="54">
        <f>M81+M89+M104+M98+M109</f>
        <v>399.72</v>
      </c>
      <c r="N80" s="46">
        <f t="shared" si="66"/>
        <v>0</v>
      </c>
      <c r="P80" s="56">
        <v>0.16039374638100753</v>
      </c>
      <c r="R80" s="57">
        <v>7.8354848393875715E-2</v>
      </c>
      <c r="S80" s="57">
        <v>2.4016811768237768E-2</v>
      </c>
      <c r="T80" s="57">
        <v>1.4710297208045633E-2</v>
      </c>
      <c r="U80" s="57">
        <v>4.2029420594416091E-3</v>
      </c>
      <c r="W80" s="54">
        <f>W81+W89+W104+W98+W109</f>
        <v>1739</v>
      </c>
      <c r="X80" s="54">
        <f>X81+X89+X104+X98+X109</f>
        <v>156</v>
      </c>
      <c r="Y80" s="54">
        <f>Y81+Y89+Y104+Y98+Y109</f>
        <v>1583</v>
      </c>
      <c r="Z80" s="46">
        <f t="shared" si="69"/>
        <v>8.9706728004600347E-2</v>
      </c>
      <c r="AB80" s="54">
        <f>AB81+AB89+AB104+AB98+AB109</f>
        <v>1592</v>
      </c>
      <c r="AC80" s="54">
        <f>AC81+AC89+AC104+AC98+AC109</f>
        <v>248</v>
      </c>
      <c r="AD80" s="54">
        <f>AD81+AD89+AD104+AD98+AD109</f>
        <v>1344</v>
      </c>
      <c r="AE80" s="46">
        <f t="shared" si="70"/>
        <v>0.15577889447236182</v>
      </c>
    </row>
    <row r="81" spans="1:31" x14ac:dyDescent="0.25">
      <c r="A81" s="58" t="s">
        <v>91</v>
      </c>
      <c r="B81" s="59"/>
      <c r="C81" s="60">
        <f>SUM(C82:C88)</f>
        <v>9</v>
      </c>
      <c r="D81" s="59"/>
      <c r="E81" s="59"/>
      <c r="F81" s="60">
        <f t="shared" ref="F81:H81" si="80">SUM(F82:F88)</f>
        <v>698</v>
      </c>
      <c r="G81" s="60">
        <f t="shared" si="80"/>
        <v>83</v>
      </c>
      <c r="H81" s="60">
        <f t="shared" si="80"/>
        <v>615</v>
      </c>
      <c r="I81" s="55">
        <f t="shared" si="61"/>
        <v>0.11891117478510028</v>
      </c>
      <c r="J81" s="78"/>
      <c r="K81" s="60">
        <f>SUM(K82:K88)</f>
        <v>83.76</v>
      </c>
      <c r="L81" s="60">
        <f>SUM(L82:L88)</f>
        <v>0</v>
      </c>
      <c r="M81" s="60">
        <f>SUM(M82:M88)</f>
        <v>83.76</v>
      </c>
      <c r="N81" s="46">
        <f t="shared" si="66"/>
        <v>0</v>
      </c>
      <c r="P81" s="56">
        <v>0.17910447761194029</v>
      </c>
      <c r="R81" s="57">
        <v>7.4498567335243543E-2</v>
      </c>
      <c r="S81" s="57">
        <v>1.8624641833810889E-2</v>
      </c>
      <c r="T81" s="57">
        <v>2.148997134670487E-2</v>
      </c>
      <c r="U81" s="57">
        <v>4.2979942693409743E-3</v>
      </c>
      <c r="W81" s="60">
        <f>SUM(W82:W88)</f>
        <v>443</v>
      </c>
      <c r="X81" s="60">
        <f>SUM(X82:X88)</f>
        <v>47</v>
      </c>
      <c r="Y81" s="60">
        <f>SUM(Y82:Y88)</f>
        <v>396</v>
      </c>
      <c r="Z81" s="46">
        <f t="shared" si="69"/>
        <v>0.10609480812641084</v>
      </c>
      <c r="AB81" s="60">
        <f>SUM(AB82:AB88)</f>
        <v>255</v>
      </c>
      <c r="AC81" s="60">
        <f>SUM(AC82:AC88)</f>
        <v>36</v>
      </c>
      <c r="AD81" s="60">
        <f>SUM(AD82:AD88)</f>
        <v>219</v>
      </c>
      <c r="AE81" s="46">
        <f t="shared" si="70"/>
        <v>0.14117647058823529</v>
      </c>
    </row>
    <row r="82" spans="1:31" x14ac:dyDescent="0.25">
      <c r="A82" s="61" t="s">
        <v>92</v>
      </c>
      <c r="B82" s="62"/>
      <c r="C82" s="63">
        <v>2</v>
      </c>
      <c r="D82" s="62"/>
      <c r="E82" s="62"/>
      <c r="F82" s="63">
        <f>VLOOKUP(A:A,[1]Sheet1!$A:$D,4,0)</f>
        <v>153</v>
      </c>
      <c r="G82" s="63">
        <f>VLOOKUP(A:A,[1]Sheet1!$A:$C,3,0)</f>
        <v>18</v>
      </c>
      <c r="H82" s="64">
        <f t="shared" ref="H82:H88" si="81">F82-G82</f>
        <v>135</v>
      </c>
      <c r="I82" s="55">
        <f t="shared" si="61"/>
        <v>0.11764705882352941</v>
      </c>
      <c r="K82" s="65">
        <f t="shared" ref="K82:K88" si="82">F82*12/100</f>
        <v>18.36</v>
      </c>
      <c r="L82" s="63"/>
      <c r="M82" s="64">
        <f t="shared" si="79"/>
        <v>18.36</v>
      </c>
      <c r="N82" s="46">
        <f t="shared" si="66"/>
        <v>0</v>
      </c>
      <c r="P82" s="56">
        <v>0.16949152542372881</v>
      </c>
      <c r="R82" s="57">
        <v>7.1895424836601302E-2</v>
      </c>
      <c r="S82" s="57">
        <v>1.3071895424836596E-2</v>
      </c>
      <c r="T82" s="57">
        <v>1.9607843137254902E-2</v>
      </c>
      <c r="U82" s="57">
        <v>1.3071895424836602E-2</v>
      </c>
      <c r="W82" s="63">
        <f>VLOOKUP(A:A,'[1]2w &amp; 3w'!$A:$D,4,0)</f>
        <v>136</v>
      </c>
      <c r="X82" s="63">
        <f>VLOOKUP(A:A,'[1]2w &amp; 3w'!$A:$C,3,0)</f>
        <v>13</v>
      </c>
      <c r="Y82" s="63">
        <f t="shared" si="67"/>
        <v>123</v>
      </c>
      <c r="Z82" s="46">
        <f t="shared" si="69"/>
        <v>9.5588235294117641E-2</v>
      </c>
      <c r="AB82" s="63">
        <f>VLOOKUP(A:A,'[1]2w &amp; 3w'!$A:$G,7,0)</f>
        <v>17</v>
      </c>
      <c r="AC82" s="63">
        <f>VLOOKUP(A:A,'[1]2w &amp; 3w'!$A:$F,6,0)</f>
        <v>5</v>
      </c>
      <c r="AD82" s="63">
        <f t="shared" si="68"/>
        <v>12</v>
      </c>
      <c r="AE82" s="46">
        <f t="shared" si="70"/>
        <v>0.29411764705882354</v>
      </c>
    </row>
    <row r="83" spans="1:31" x14ac:dyDescent="0.25">
      <c r="A83" s="61" t="s">
        <v>178</v>
      </c>
      <c r="B83" s="62"/>
      <c r="C83" s="63">
        <v>2</v>
      </c>
      <c r="D83" s="62"/>
      <c r="E83" s="62"/>
      <c r="F83" s="63">
        <f>VLOOKUP(A:A,[1]Sheet1!$A:$D,4,0)</f>
        <v>108</v>
      </c>
      <c r="G83" s="63">
        <f>VLOOKUP(A:A,[1]Sheet1!$A:$C,3,0)</f>
        <v>14</v>
      </c>
      <c r="H83" s="64">
        <f t="shared" si="81"/>
        <v>94</v>
      </c>
      <c r="I83" s="55">
        <f t="shared" si="61"/>
        <v>0.12962962962962962</v>
      </c>
      <c r="K83" s="65">
        <f t="shared" si="82"/>
        <v>12.96</v>
      </c>
      <c r="L83" s="63"/>
      <c r="M83" s="64">
        <f t="shared" si="79"/>
        <v>12.96</v>
      </c>
      <c r="N83" s="46">
        <f t="shared" si="66"/>
        <v>0</v>
      </c>
      <c r="P83" s="56">
        <v>0.17799999999999999</v>
      </c>
      <c r="R83" s="57">
        <v>5.5555555555555552E-2</v>
      </c>
      <c r="S83" s="57">
        <v>2.7777777777777776E-2</v>
      </c>
      <c r="T83" s="57">
        <v>4.6296296296296294E-2</v>
      </c>
      <c r="U83" s="57">
        <v>0</v>
      </c>
      <c r="W83" s="63">
        <f>VLOOKUP(A:A,'[1]2w &amp; 3w'!$A:$D,4,0)</f>
        <v>83</v>
      </c>
      <c r="X83" s="63">
        <f>VLOOKUP(A:A,'[1]2w &amp; 3w'!$A:$C,3,0)</f>
        <v>8</v>
      </c>
      <c r="Y83" s="63">
        <f t="shared" si="67"/>
        <v>75</v>
      </c>
      <c r="Z83" s="46">
        <f t="shared" si="69"/>
        <v>9.6385542168674704E-2</v>
      </c>
      <c r="AB83" s="63">
        <f>VLOOKUP(A:A,'[1]2w &amp; 3w'!$A:$G,7,0)</f>
        <v>25</v>
      </c>
      <c r="AC83" s="63">
        <f>VLOOKUP(A:A,'[1]2w &amp; 3w'!$A:$F,6,0)</f>
        <v>6</v>
      </c>
      <c r="AD83" s="63">
        <f t="shared" si="68"/>
        <v>19</v>
      </c>
      <c r="AE83" s="46">
        <f t="shared" si="70"/>
        <v>0.24</v>
      </c>
    </row>
    <row r="84" spans="1:31" x14ac:dyDescent="0.25">
      <c r="A84" s="61" t="s">
        <v>93</v>
      </c>
      <c r="B84" s="62" t="s">
        <v>20</v>
      </c>
      <c r="C84" s="63">
        <v>1</v>
      </c>
      <c r="D84" s="62"/>
      <c r="E84" s="62"/>
      <c r="F84" s="63">
        <f>VLOOKUP(A:A,[1]Sheet1!$A:$D,4,0)</f>
        <v>62</v>
      </c>
      <c r="G84" s="63">
        <f>VLOOKUP(A:A,[1]Sheet1!$A:$C,3,0)</f>
        <v>4</v>
      </c>
      <c r="H84" s="64">
        <f t="shared" si="81"/>
        <v>58</v>
      </c>
      <c r="I84" s="55">
        <f t="shared" si="61"/>
        <v>6.4516129032258063E-2</v>
      </c>
      <c r="K84" s="65">
        <f t="shared" si="82"/>
        <v>7.44</v>
      </c>
      <c r="L84" s="63"/>
      <c r="M84" s="64">
        <f t="shared" si="79"/>
        <v>7.44</v>
      </c>
      <c r="N84" s="46">
        <f t="shared" si="66"/>
        <v>0</v>
      </c>
      <c r="P84" s="56">
        <v>0.16666666666666666</v>
      </c>
      <c r="R84" s="57">
        <v>3.2258064516129031E-2</v>
      </c>
      <c r="S84" s="57">
        <v>3.2258064516129031E-2</v>
      </c>
      <c r="T84" s="57">
        <v>0</v>
      </c>
      <c r="U84" s="57">
        <v>0</v>
      </c>
      <c r="W84" s="63">
        <f>VLOOKUP(A:A,'[1]2w &amp; 3w'!$A:$D,4,0)</f>
        <v>30</v>
      </c>
      <c r="X84" s="63">
        <f>VLOOKUP(A:A,'[1]2w &amp; 3w'!$A:$C,3,0)</f>
        <v>2</v>
      </c>
      <c r="Y84" s="63">
        <f t="shared" si="67"/>
        <v>28</v>
      </c>
      <c r="Z84" s="46">
        <f t="shared" si="69"/>
        <v>6.6666666666666666E-2</v>
      </c>
      <c r="AB84" s="63">
        <f>VLOOKUP(A:A,'[1]2w &amp; 3w'!$A:$G,7,0)</f>
        <v>32</v>
      </c>
      <c r="AC84" s="63">
        <f>VLOOKUP(A:A,'[1]2w &amp; 3w'!$A:$F,6,0)</f>
        <v>2</v>
      </c>
      <c r="AD84" s="63">
        <f t="shared" si="68"/>
        <v>30</v>
      </c>
      <c r="AE84" s="46">
        <f t="shared" si="70"/>
        <v>6.25E-2</v>
      </c>
    </row>
    <row r="85" spans="1:31" x14ac:dyDescent="0.25">
      <c r="A85" s="61" t="s">
        <v>94</v>
      </c>
      <c r="B85" s="62"/>
      <c r="C85" s="63">
        <v>1</v>
      </c>
      <c r="D85" s="62"/>
      <c r="E85" s="62"/>
      <c r="F85" s="63">
        <f>VLOOKUP(A:A,[1]Sheet1!$A:$D,4,0)</f>
        <v>74</v>
      </c>
      <c r="G85" s="63">
        <f>VLOOKUP(A:A,[1]Sheet1!$A:$C,3,0)</f>
        <v>12</v>
      </c>
      <c r="H85" s="64">
        <f>F85-G85</f>
        <v>62</v>
      </c>
      <c r="I85" s="55">
        <f>G85/F85</f>
        <v>0.16216216216216217</v>
      </c>
      <c r="K85" s="65">
        <f t="shared" si="82"/>
        <v>8.8800000000000008</v>
      </c>
      <c r="L85" s="63"/>
      <c r="M85" s="64">
        <f>K85-L85</f>
        <v>8.8800000000000008</v>
      </c>
      <c r="N85" s="46">
        <f t="shared" si="66"/>
        <v>0</v>
      </c>
      <c r="P85" s="56">
        <v>0.14814814814814814</v>
      </c>
      <c r="R85" s="57">
        <v>0.10810810810810811</v>
      </c>
      <c r="S85" s="57">
        <v>1.3513513513513514E-2</v>
      </c>
      <c r="T85" s="57">
        <v>2.7027027027027029E-2</v>
      </c>
      <c r="U85" s="57">
        <v>1.3513513513513514E-2</v>
      </c>
      <c r="W85" s="63">
        <f>VLOOKUP(A:A,'[1]2w &amp; 3w'!$A:$D,4,0)</f>
        <v>74</v>
      </c>
      <c r="X85" s="63">
        <f>VLOOKUP(A:A,'[1]2w &amp; 3w'!$A:$C,3,0)</f>
        <v>12</v>
      </c>
      <c r="Y85" s="63">
        <f t="shared" si="67"/>
        <v>62</v>
      </c>
      <c r="Z85" s="46">
        <f t="shared" si="69"/>
        <v>0.16216216216216217</v>
      </c>
      <c r="AB85" s="63">
        <f>VLOOKUP(A:A,'[1]2w &amp; 3w'!$A:$G,7,0)</f>
        <v>0</v>
      </c>
      <c r="AC85" s="63">
        <f>VLOOKUP(A:A,'[1]2w &amp; 3w'!$A:$F,6,0)</f>
        <v>0</v>
      </c>
      <c r="AD85" s="63">
        <f t="shared" si="68"/>
        <v>0</v>
      </c>
      <c r="AE85" s="46">
        <v>0</v>
      </c>
    </row>
    <row r="86" spans="1:31" x14ac:dyDescent="0.25">
      <c r="A86" s="61" t="s">
        <v>95</v>
      </c>
      <c r="B86" s="62" t="s">
        <v>20</v>
      </c>
      <c r="C86" s="63">
        <v>1</v>
      </c>
      <c r="D86" s="62"/>
      <c r="E86" s="62"/>
      <c r="F86" s="63">
        <f>VLOOKUP(A:A,[1]Sheet1!$A:$D,4,0)</f>
        <v>116</v>
      </c>
      <c r="G86" s="63">
        <f>VLOOKUP(A:A,[1]Sheet1!$A:$C,3,0)</f>
        <v>15</v>
      </c>
      <c r="H86" s="64">
        <f t="shared" si="81"/>
        <v>101</v>
      </c>
      <c r="I86" s="55">
        <f t="shared" si="61"/>
        <v>0.12931034482758622</v>
      </c>
      <c r="K86" s="65">
        <f t="shared" si="82"/>
        <v>13.92</v>
      </c>
      <c r="L86" s="63"/>
      <c r="M86" s="64">
        <f t="shared" si="79"/>
        <v>13.92</v>
      </c>
      <c r="N86" s="46">
        <f t="shared" si="66"/>
        <v>0</v>
      </c>
      <c r="P86" s="56">
        <v>0.2073170731707317</v>
      </c>
      <c r="R86" s="57">
        <v>9.4827586206896561E-2</v>
      </c>
      <c r="S86" s="57">
        <v>2.5862068965517241E-2</v>
      </c>
      <c r="T86" s="57">
        <v>8.6206896551724137E-3</v>
      </c>
      <c r="U86" s="57">
        <v>0</v>
      </c>
      <c r="W86" s="63">
        <f>VLOOKUP(A:A,'[1]2w &amp; 3w'!$A:$D,4,0)</f>
        <v>36</v>
      </c>
      <c r="X86" s="63">
        <f>VLOOKUP(A:A,'[1]2w &amp; 3w'!$A:$C,3,0)</f>
        <v>3</v>
      </c>
      <c r="Y86" s="63">
        <f t="shared" si="67"/>
        <v>33</v>
      </c>
      <c r="Z86" s="46">
        <f t="shared" si="69"/>
        <v>8.3333333333333329E-2</v>
      </c>
      <c r="AB86" s="63">
        <f>VLOOKUP(A:A,'[1]2w &amp; 3w'!$A:$G,7,0)</f>
        <v>80</v>
      </c>
      <c r="AC86" s="63">
        <f>VLOOKUP(A:A,'[1]2w &amp; 3w'!$A:$F,6,0)</f>
        <v>12</v>
      </c>
      <c r="AD86" s="63">
        <f t="shared" si="68"/>
        <v>68</v>
      </c>
      <c r="AE86" s="46">
        <f t="shared" si="70"/>
        <v>0.15</v>
      </c>
    </row>
    <row r="87" spans="1:31" x14ac:dyDescent="0.25">
      <c r="A87" s="61" t="s">
        <v>96</v>
      </c>
      <c r="B87" s="62" t="s">
        <v>20</v>
      </c>
      <c r="C87" s="63">
        <v>1</v>
      </c>
      <c r="D87" s="62"/>
      <c r="E87" s="62"/>
      <c r="F87" s="63">
        <f>VLOOKUP(A:A,[1]Sheet1!$A:$D,4,0)</f>
        <v>78</v>
      </c>
      <c r="G87" s="63">
        <f>VLOOKUP(A:A,[1]Sheet1!$A:$C,3,0)</f>
        <v>9</v>
      </c>
      <c r="H87" s="64">
        <f t="shared" si="81"/>
        <v>69</v>
      </c>
      <c r="I87" s="55">
        <f t="shared" si="61"/>
        <v>0.11538461538461539</v>
      </c>
      <c r="K87" s="65">
        <f t="shared" si="82"/>
        <v>9.36</v>
      </c>
      <c r="L87" s="63"/>
      <c r="M87" s="64">
        <f t="shared" si="79"/>
        <v>9.36</v>
      </c>
      <c r="N87" s="46">
        <f t="shared" si="66"/>
        <v>0</v>
      </c>
      <c r="P87" s="56">
        <v>0.19230769230769232</v>
      </c>
      <c r="R87" s="57">
        <v>7.6923076923076927E-2</v>
      </c>
      <c r="S87" s="57">
        <v>2.5641025641025644E-2</v>
      </c>
      <c r="T87" s="57">
        <v>1.282051282051282E-2</v>
      </c>
      <c r="U87" s="57">
        <v>0</v>
      </c>
      <c r="W87" s="63">
        <f>VLOOKUP(A:A,'[1]2w &amp; 3w'!$A:$D,4,0)</f>
        <v>72</v>
      </c>
      <c r="X87" s="63">
        <f>VLOOKUP(A:A,'[1]2w &amp; 3w'!$A:$C,3,0)</f>
        <v>8</v>
      </c>
      <c r="Y87" s="63">
        <f t="shared" si="67"/>
        <v>64</v>
      </c>
      <c r="Z87" s="46">
        <f t="shared" si="69"/>
        <v>0.1111111111111111</v>
      </c>
      <c r="AB87" s="63">
        <f>VLOOKUP(A:A,'[1]2w &amp; 3w'!$A:$G,7,0)</f>
        <v>6</v>
      </c>
      <c r="AC87" s="63">
        <f>VLOOKUP(A:A,'[1]2w &amp; 3w'!$A:$F,6,0)</f>
        <v>1</v>
      </c>
      <c r="AD87" s="63">
        <f t="shared" si="68"/>
        <v>5</v>
      </c>
      <c r="AE87" s="46">
        <f t="shared" si="70"/>
        <v>0.16666666666666666</v>
      </c>
    </row>
    <row r="88" spans="1:31" x14ac:dyDescent="0.25">
      <c r="A88" s="61" t="s">
        <v>97</v>
      </c>
      <c r="B88" s="62"/>
      <c r="C88" s="63">
        <v>1</v>
      </c>
      <c r="D88" s="62"/>
      <c r="E88" s="62"/>
      <c r="F88" s="63">
        <f>VLOOKUP(A:A,[1]Sheet1!$A:$D,4,0)</f>
        <v>107</v>
      </c>
      <c r="G88" s="63">
        <f>VLOOKUP(A:A,[1]Sheet1!$A:$C,3,0)</f>
        <v>11</v>
      </c>
      <c r="H88" s="64">
        <f t="shared" si="81"/>
        <v>96</v>
      </c>
      <c r="I88" s="55">
        <f t="shared" si="61"/>
        <v>0.10280373831775701</v>
      </c>
      <c r="K88" s="65">
        <f t="shared" si="82"/>
        <v>12.84</v>
      </c>
      <c r="L88" s="63"/>
      <c r="M88" s="64">
        <f t="shared" si="79"/>
        <v>12.84</v>
      </c>
      <c r="N88" s="46">
        <f t="shared" si="66"/>
        <v>0</v>
      </c>
      <c r="P88" s="56">
        <v>0.17293233082706766</v>
      </c>
      <c r="R88" s="57">
        <v>7.476635514018691E-2</v>
      </c>
      <c r="S88" s="57">
        <v>0</v>
      </c>
      <c r="T88" s="57">
        <v>2.8037383177570093E-2</v>
      </c>
      <c r="U88" s="57">
        <v>0</v>
      </c>
      <c r="W88" s="63">
        <f>VLOOKUP(A:A,'[1]2w &amp; 3w'!$A:$D,4,0)</f>
        <v>12</v>
      </c>
      <c r="X88" s="63">
        <f>VLOOKUP(A:A,'[1]2w &amp; 3w'!$A:$C,3,0)</f>
        <v>1</v>
      </c>
      <c r="Y88" s="63">
        <f t="shared" si="67"/>
        <v>11</v>
      </c>
      <c r="Z88" s="46">
        <f t="shared" si="69"/>
        <v>8.3333333333333329E-2</v>
      </c>
      <c r="AB88" s="63">
        <f>VLOOKUP(A:A,'[1]2w &amp; 3w'!$A:$G,7,0)</f>
        <v>95</v>
      </c>
      <c r="AC88" s="63">
        <f>VLOOKUP(A:A,'[1]2w &amp; 3w'!$A:$F,6,0)</f>
        <v>10</v>
      </c>
      <c r="AD88" s="63">
        <f t="shared" si="68"/>
        <v>85</v>
      </c>
      <c r="AE88" s="46">
        <f t="shared" si="70"/>
        <v>0.10526315789473684</v>
      </c>
    </row>
    <row r="89" spans="1:31" x14ac:dyDescent="0.25">
      <c r="A89" s="58" t="s">
        <v>98</v>
      </c>
      <c r="B89" s="59"/>
      <c r="C89" s="51">
        <f>SUM(C90:C97)</f>
        <v>8</v>
      </c>
      <c r="D89" s="59"/>
      <c r="E89" s="59"/>
      <c r="F89" s="51">
        <f>SUM(F90:F97)</f>
        <v>933</v>
      </c>
      <c r="G89" s="51">
        <f t="shared" ref="G89:H89" si="83">SUM(G90:G97)</f>
        <v>139</v>
      </c>
      <c r="H89" s="51">
        <f t="shared" si="83"/>
        <v>794</v>
      </c>
      <c r="I89" s="55">
        <f t="shared" si="61"/>
        <v>0.14898177920685959</v>
      </c>
      <c r="J89" s="78"/>
      <c r="K89" s="72">
        <f>SUM(K90:K97)</f>
        <v>111.96000000000001</v>
      </c>
      <c r="L89" s="72">
        <f>SUM(L90:L97)</f>
        <v>0</v>
      </c>
      <c r="M89" s="72">
        <f t="shared" ref="M89" si="84">SUM(M90:M97)</f>
        <v>111.96000000000001</v>
      </c>
      <c r="N89" s="46">
        <f t="shared" si="66"/>
        <v>0</v>
      </c>
      <c r="P89" s="56">
        <v>0.17774762550881953</v>
      </c>
      <c r="R89" s="57">
        <v>8.8960342979635593E-2</v>
      </c>
      <c r="S89" s="57">
        <v>3.1082529474812434E-2</v>
      </c>
      <c r="T89" s="57">
        <v>2.1436227224008574E-2</v>
      </c>
      <c r="U89" s="57">
        <v>7.502679528403001E-3</v>
      </c>
      <c r="W89" s="72">
        <f>SUM(W90:W97)</f>
        <v>321</v>
      </c>
      <c r="X89" s="72">
        <f t="shared" ref="X89:Y89" si="85">SUM(X90:X97)</f>
        <v>35</v>
      </c>
      <c r="Y89" s="72">
        <f t="shared" si="85"/>
        <v>286</v>
      </c>
      <c r="Z89" s="46">
        <f t="shared" si="69"/>
        <v>0.10903426791277258</v>
      </c>
      <c r="AB89" s="72">
        <f>SUM(AB90:AB97)</f>
        <v>612</v>
      </c>
      <c r="AC89" s="72">
        <f t="shared" ref="AC89:AD89" si="86">SUM(AC90:AC97)</f>
        <v>104</v>
      </c>
      <c r="AD89" s="72">
        <f t="shared" si="86"/>
        <v>508</v>
      </c>
      <c r="AE89" s="46">
        <f t="shared" si="70"/>
        <v>0.16993464052287582</v>
      </c>
    </row>
    <row r="90" spans="1:31" x14ac:dyDescent="0.25">
      <c r="A90" s="61" t="s">
        <v>99</v>
      </c>
      <c r="B90" s="62"/>
      <c r="C90" s="63">
        <v>1</v>
      </c>
      <c r="D90" s="62" t="s">
        <v>50</v>
      </c>
      <c r="E90" s="62"/>
      <c r="F90" s="63">
        <f>VLOOKUP(A:A,[1]Sheet1!$A:$D,4,0)</f>
        <v>193</v>
      </c>
      <c r="G90" s="63">
        <f>VLOOKUP(A:A,[1]Sheet1!$A:$C,3,0)</f>
        <v>35</v>
      </c>
      <c r="H90" s="64">
        <f t="shared" ref="H90:H97" si="87">F90-G90</f>
        <v>158</v>
      </c>
      <c r="I90" s="55">
        <f t="shared" si="61"/>
        <v>0.18134715025906736</v>
      </c>
      <c r="K90" s="65">
        <f t="shared" ref="K90:K97" si="88">F90*12/100</f>
        <v>23.16</v>
      </c>
      <c r="L90" s="63"/>
      <c r="M90" s="64">
        <f t="shared" si="79"/>
        <v>23.16</v>
      </c>
      <c r="N90" s="46">
        <f t="shared" si="66"/>
        <v>0</v>
      </c>
      <c r="P90" s="56">
        <v>0.16400000000000001</v>
      </c>
      <c r="R90" s="57">
        <v>0.10362694300518135</v>
      </c>
      <c r="S90" s="57">
        <v>3.1088082901554404E-2</v>
      </c>
      <c r="T90" s="57">
        <v>3.6269430051813469E-2</v>
      </c>
      <c r="U90" s="57">
        <v>1.0362694300518135E-2</v>
      </c>
      <c r="W90" s="63">
        <f>VLOOKUP(A:A,'[1]2w &amp; 3w'!$A:$D,4,0)</f>
        <v>123</v>
      </c>
      <c r="X90" s="63">
        <f>VLOOKUP(A:A,'[1]2w &amp; 3w'!$A:$C,3,0)</f>
        <v>16</v>
      </c>
      <c r="Y90" s="63">
        <f t="shared" si="67"/>
        <v>107</v>
      </c>
      <c r="Z90" s="46">
        <f t="shared" si="69"/>
        <v>0.13008130081300814</v>
      </c>
      <c r="AB90" s="63">
        <f>VLOOKUP(A:A,'[1]2w &amp; 3w'!$A:$G,7,0)</f>
        <v>70</v>
      </c>
      <c r="AC90" s="63">
        <f>VLOOKUP(A:A,'[1]2w &amp; 3w'!$A:$F,6,0)</f>
        <v>19</v>
      </c>
      <c r="AD90" s="63">
        <f t="shared" si="68"/>
        <v>51</v>
      </c>
      <c r="AE90" s="46">
        <f t="shared" si="70"/>
        <v>0.27142857142857141</v>
      </c>
    </row>
    <row r="91" spans="1:31" x14ac:dyDescent="0.25">
      <c r="A91" s="61" t="s">
        <v>100</v>
      </c>
      <c r="B91" s="62" t="s">
        <v>20</v>
      </c>
      <c r="C91" s="63">
        <v>1</v>
      </c>
      <c r="D91" s="62"/>
      <c r="E91" s="62"/>
      <c r="F91" s="63">
        <f>VLOOKUP(A:A,[1]Sheet1!$A:$D,4,0)</f>
        <v>105</v>
      </c>
      <c r="G91" s="63">
        <f>VLOOKUP(A:A,[1]Sheet1!$A:$C,3,0)</f>
        <v>13</v>
      </c>
      <c r="H91" s="64">
        <f t="shared" si="87"/>
        <v>92</v>
      </c>
      <c r="I91" s="55">
        <f t="shared" si="61"/>
        <v>0.12380952380952381</v>
      </c>
      <c r="K91" s="65">
        <f t="shared" si="88"/>
        <v>12.6</v>
      </c>
      <c r="L91" s="63"/>
      <c r="M91" s="64">
        <f t="shared" si="79"/>
        <v>12.6</v>
      </c>
      <c r="N91" s="46">
        <f t="shared" si="66"/>
        <v>0</v>
      </c>
      <c r="P91" s="56">
        <v>0.1111111111111111</v>
      </c>
      <c r="R91" s="57">
        <v>5.7142857142857148E-2</v>
      </c>
      <c r="S91" s="57">
        <v>9.5238095238095247E-3</v>
      </c>
      <c r="T91" s="57">
        <v>3.8095238095238092E-2</v>
      </c>
      <c r="U91" s="57">
        <v>1.9047619047619049E-2</v>
      </c>
      <c r="W91" s="63">
        <f>VLOOKUP(A:A,'[1]2w &amp; 3w'!$A:$D,4,0)</f>
        <v>0</v>
      </c>
      <c r="X91" s="63">
        <f>VLOOKUP(A:A,'[1]2w &amp; 3w'!$A:$C,3,0)</f>
        <v>0</v>
      </c>
      <c r="Y91" s="63">
        <f t="shared" si="67"/>
        <v>0</v>
      </c>
      <c r="Z91" s="46">
        <v>0</v>
      </c>
      <c r="AB91" s="63">
        <f>VLOOKUP(A:A,'[1]2w &amp; 3w'!$A:$G,7,0)</f>
        <v>105</v>
      </c>
      <c r="AC91" s="63">
        <f>VLOOKUP(A:A,'[1]2w &amp; 3w'!$A:$F,6,0)</f>
        <v>13</v>
      </c>
      <c r="AD91" s="63">
        <f t="shared" si="68"/>
        <v>92</v>
      </c>
      <c r="AE91" s="46">
        <f t="shared" si="70"/>
        <v>0.12380952380952381</v>
      </c>
    </row>
    <row r="92" spans="1:31" x14ac:dyDescent="0.25">
      <c r="A92" s="61" t="s">
        <v>101</v>
      </c>
      <c r="B92" s="62" t="s">
        <v>20</v>
      </c>
      <c r="C92" s="63">
        <v>1</v>
      </c>
      <c r="D92" s="62"/>
      <c r="E92" s="62"/>
      <c r="F92" s="63">
        <f>VLOOKUP(A:A,[1]Sheet1!$A:$D,4,0)</f>
        <v>130</v>
      </c>
      <c r="G92" s="63">
        <f>VLOOKUP(A:A,[1]Sheet1!$A:$C,3,0)</f>
        <v>15</v>
      </c>
      <c r="H92" s="64">
        <f t="shared" si="87"/>
        <v>115</v>
      </c>
      <c r="I92" s="55">
        <f t="shared" si="61"/>
        <v>0.11538461538461539</v>
      </c>
      <c r="K92" s="65">
        <f t="shared" si="88"/>
        <v>15.6</v>
      </c>
      <c r="L92" s="63"/>
      <c r="M92" s="64">
        <f t="shared" si="79"/>
        <v>15.6</v>
      </c>
      <c r="N92" s="46">
        <f t="shared" si="66"/>
        <v>0</v>
      </c>
      <c r="P92" s="56">
        <v>0.17117117117117117</v>
      </c>
      <c r="R92" s="57">
        <v>3.8461538461538464E-2</v>
      </c>
      <c r="S92" s="57">
        <v>3.8461538461538464E-2</v>
      </c>
      <c r="T92" s="57">
        <v>2.3076923076923078E-2</v>
      </c>
      <c r="U92" s="57">
        <v>1.5384615384615385E-2</v>
      </c>
      <c r="W92" s="63">
        <f>VLOOKUP(A:A,'[1]2w &amp; 3w'!$A:$D,4,0)</f>
        <v>90</v>
      </c>
      <c r="X92" s="63">
        <f>VLOOKUP(A:A,'[1]2w &amp; 3w'!$A:$C,3,0)</f>
        <v>8</v>
      </c>
      <c r="Y92" s="63">
        <f t="shared" si="67"/>
        <v>82</v>
      </c>
      <c r="Z92" s="46">
        <f t="shared" si="69"/>
        <v>8.8888888888888892E-2</v>
      </c>
      <c r="AB92" s="63">
        <f>VLOOKUP(A:A,'[1]2w &amp; 3w'!$A:$G,7,0)</f>
        <v>40</v>
      </c>
      <c r="AC92" s="63">
        <f>VLOOKUP(A:A,'[1]2w &amp; 3w'!$A:$F,6,0)</f>
        <v>7</v>
      </c>
      <c r="AD92" s="63">
        <f t="shared" si="68"/>
        <v>33</v>
      </c>
      <c r="AE92" s="46">
        <f t="shared" si="70"/>
        <v>0.17499999999999999</v>
      </c>
    </row>
    <row r="93" spans="1:31" x14ac:dyDescent="0.25">
      <c r="A93" s="61" t="s">
        <v>102</v>
      </c>
      <c r="B93" s="62"/>
      <c r="C93" s="63">
        <v>1</v>
      </c>
      <c r="D93" s="62"/>
      <c r="E93" s="62"/>
      <c r="F93" s="63">
        <f>VLOOKUP(A:A,[1]Sheet1!$A:$D,4,0)</f>
        <v>94</v>
      </c>
      <c r="G93" s="63">
        <f>VLOOKUP(A:A,[1]Sheet1!$A:$C,3,0)</f>
        <v>10</v>
      </c>
      <c r="H93" s="64">
        <f t="shared" si="87"/>
        <v>84</v>
      </c>
      <c r="I93" s="55">
        <f t="shared" si="61"/>
        <v>0.10638297872340426</v>
      </c>
      <c r="K93" s="65">
        <f t="shared" si="88"/>
        <v>11.28</v>
      </c>
      <c r="L93" s="63"/>
      <c r="M93" s="64">
        <f t="shared" si="79"/>
        <v>11.28</v>
      </c>
      <c r="N93" s="46">
        <f t="shared" si="66"/>
        <v>0</v>
      </c>
      <c r="P93" s="56">
        <v>0.12643678160919541</v>
      </c>
      <c r="R93" s="57">
        <v>6.3829787234042562E-2</v>
      </c>
      <c r="S93" s="57">
        <v>2.1276595744680851E-2</v>
      </c>
      <c r="T93" s="57">
        <v>1.0638297872340425E-2</v>
      </c>
      <c r="U93" s="57">
        <v>1.0638297872340425E-2</v>
      </c>
      <c r="W93" s="63">
        <f>VLOOKUP(A:A,'[1]2w &amp; 3w'!$A:$D,4,0)</f>
        <v>67</v>
      </c>
      <c r="X93" s="63">
        <f>VLOOKUP(A:A,'[1]2w &amp; 3w'!$A:$C,3,0)</f>
        <v>7</v>
      </c>
      <c r="Y93" s="63">
        <f t="shared" si="67"/>
        <v>60</v>
      </c>
      <c r="Z93" s="46">
        <f t="shared" si="69"/>
        <v>0.1044776119402985</v>
      </c>
      <c r="AB93" s="63">
        <f>VLOOKUP(A:A,'[1]2w &amp; 3w'!$A:$G,7,0)</f>
        <v>27</v>
      </c>
      <c r="AC93" s="63">
        <f>VLOOKUP(A:A,'[1]2w &amp; 3w'!$A:$F,6,0)</f>
        <v>3</v>
      </c>
      <c r="AD93" s="63">
        <f t="shared" si="68"/>
        <v>24</v>
      </c>
      <c r="AE93" s="46">
        <f t="shared" si="70"/>
        <v>0.1111111111111111</v>
      </c>
    </row>
    <row r="94" spans="1:31" x14ac:dyDescent="0.25">
      <c r="A94" s="61" t="s">
        <v>103</v>
      </c>
      <c r="B94" s="62"/>
      <c r="C94" s="63">
        <v>1</v>
      </c>
      <c r="D94" s="62"/>
      <c r="E94" s="62"/>
      <c r="F94" s="63">
        <f>VLOOKUP(A:A,[1]Sheet1!$A:$D,4,0)</f>
        <v>117</v>
      </c>
      <c r="G94" s="63">
        <f>VLOOKUP(A:A,[1]Sheet1!$A:$C,3,0)</f>
        <v>26</v>
      </c>
      <c r="H94" s="64">
        <f t="shared" si="87"/>
        <v>91</v>
      </c>
      <c r="I94" s="55">
        <f t="shared" si="61"/>
        <v>0.22222222222222221</v>
      </c>
      <c r="K94" s="65">
        <f t="shared" si="88"/>
        <v>14.04</v>
      </c>
      <c r="L94" s="63"/>
      <c r="M94" s="64">
        <f t="shared" si="79"/>
        <v>14.04</v>
      </c>
      <c r="N94" s="46">
        <f t="shared" si="66"/>
        <v>0</v>
      </c>
      <c r="P94" s="56">
        <v>0.23076923076923078</v>
      </c>
      <c r="R94" s="57">
        <v>0.15384615384615383</v>
      </c>
      <c r="S94" s="57">
        <v>5.1282051282051287E-2</v>
      </c>
      <c r="T94" s="57">
        <v>1.7094017094017096E-2</v>
      </c>
      <c r="U94" s="57">
        <v>0</v>
      </c>
      <c r="W94" s="63">
        <f>VLOOKUP(A:A,'[1]2w &amp; 3w'!$A:$D,4,0)</f>
        <v>4</v>
      </c>
      <c r="X94" s="63">
        <f>VLOOKUP(A:A,'[1]2w &amp; 3w'!$A:$C,3,0)</f>
        <v>0</v>
      </c>
      <c r="Y94" s="63">
        <f t="shared" si="67"/>
        <v>4</v>
      </c>
      <c r="Z94" s="46">
        <f t="shared" si="69"/>
        <v>0</v>
      </c>
      <c r="AB94" s="63">
        <f>VLOOKUP(A:A,'[1]2w &amp; 3w'!$A:$G,7,0)</f>
        <v>113</v>
      </c>
      <c r="AC94" s="63">
        <f>VLOOKUP(A:A,'[1]2w &amp; 3w'!$A:$F,6,0)</f>
        <v>26</v>
      </c>
      <c r="AD94" s="63">
        <f t="shared" si="68"/>
        <v>87</v>
      </c>
      <c r="AE94" s="46">
        <f t="shared" si="70"/>
        <v>0.23008849557522124</v>
      </c>
    </row>
    <row r="95" spans="1:31" x14ac:dyDescent="0.25">
      <c r="A95" s="61" t="s">
        <v>104</v>
      </c>
      <c r="B95" s="62"/>
      <c r="C95" s="63">
        <v>1</v>
      </c>
      <c r="D95" s="62"/>
      <c r="E95" s="62"/>
      <c r="F95" s="63">
        <f>VLOOKUP(A:A,[1]Sheet1!$A:$D,4,0)</f>
        <v>113</v>
      </c>
      <c r="G95" s="63">
        <f>VLOOKUP(A:A,[1]Sheet1!$A:$C,3,0)</f>
        <v>18</v>
      </c>
      <c r="H95" s="64">
        <f t="shared" si="87"/>
        <v>95</v>
      </c>
      <c r="I95" s="55">
        <f t="shared" si="61"/>
        <v>0.15929203539823009</v>
      </c>
      <c r="K95" s="65">
        <f t="shared" si="88"/>
        <v>13.56</v>
      </c>
      <c r="L95" s="63"/>
      <c r="M95" s="64">
        <f t="shared" si="79"/>
        <v>13.56</v>
      </c>
      <c r="N95" s="46">
        <f t="shared" si="66"/>
        <v>0</v>
      </c>
      <c r="P95" s="56">
        <v>0.23312883435582821</v>
      </c>
      <c r="R95" s="57">
        <v>0.11504424778761062</v>
      </c>
      <c r="S95" s="57">
        <v>2.6548672566371681E-2</v>
      </c>
      <c r="T95" s="57">
        <v>1.7699115044247787E-2</v>
      </c>
      <c r="U95" s="57">
        <v>0</v>
      </c>
      <c r="W95" s="63">
        <f>VLOOKUP(A:A,'[1]2w &amp; 3w'!$A:$D,4,0)</f>
        <v>5</v>
      </c>
      <c r="X95" s="63">
        <f>VLOOKUP(A:A,'[1]2w &amp; 3w'!$A:$C,3,0)</f>
        <v>1</v>
      </c>
      <c r="Y95" s="63">
        <f t="shared" si="67"/>
        <v>4</v>
      </c>
      <c r="Z95" s="46">
        <f t="shared" si="69"/>
        <v>0.2</v>
      </c>
      <c r="AB95" s="63">
        <f>VLOOKUP(A:A,'[1]2w &amp; 3w'!$A:$G,7,0)</f>
        <v>108</v>
      </c>
      <c r="AC95" s="63">
        <f>VLOOKUP(A:A,'[1]2w &amp; 3w'!$A:$F,6,0)</f>
        <v>17</v>
      </c>
      <c r="AD95" s="63">
        <f t="shared" si="68"/>
        <v>91</v>
      </c>
      <c r="AE95" s="46">
        <f t="shared" si="70"/>
        <v>0.15740740740740741</v>
      </c>
    </row>
    <row r="96" spans="1:31" x14ac:dyDescent="0.25">
      <c r="A96" s="61" t="s">
        <v>105</v>
      </c>
      <c r="B96" s="62"/>
      <c r="C96" s="63">
        <v>1</v>
      </c>
      <c r="D96" s="62"/>
      <c r="E96" s="62"/>
      <c r="F96" s="63">
        <f>VLOOKUP(A:A,[1]Sheet1!$A:$D,4,0)</f>
        <v>74</v>
      </c>
      <c r="G96" s="63">
        <f>VLOOKUP(A:A,[1]Sheet1!$A:$C,3,0)</f>
        <v>13</v>
      </c>
      <c r="H96" s="64">
        <f t="shared" si="87"/>
        <v>61</v>
      </c>
      <c r="I96" s="55">
        <f t="shared" si="61"/>
        <v>0.17567567567567569</v>
      </c>
      <c r="K96" s="65">
        <f t="shared" si="88"/>
        <v>8.8800000000000008</v>
      </c>
      <c r="L96" s="63"/>
      <c r="M96" s="64">
        <f t="shared" si="79"/>
        <v>8.8800000000000008</v>
      </c>
      <c r="N96" s="46">
        <f t="shared" si="66"/>
        <v>0</v>
      </c>
      <c r="P96" s="56">
        <v>0.21276595744680851</v>
      </c>
      <c r="R96" s="57">
        <v>0.13513513513513514</v>
      </c>
      <c r="S96" s="57">
        <v>4.0540540540540543E-2</v>
      </c>
      <c r="T96" s="57">
        <v>0</v>
      </c>
      <c r="U96" s="57">
        <v>0</v>
      </c>
      <c r="W96" s="63">
        <f>VLOOKUP(A:A,'[1]2w &amp; 3w'!$A:$D,4,0)</f>
        <v>30</v>
      </c>
      <c r="X96" s="63">
        <f>VLOOKUP(A:A,'[1]2w &amp; 3w'!$A:$C,3,0)</f>
        <v>3</v>
      </c>
      <c r="Y96" s="63">
        <f t="shared" si="67"/>
        <v>27</v>
      </c>
      <c r="Z96" s="46">
        <f t="shared" si="69"/>
        <v>0.1</v>
      </c>
      <c r="AB96" s="63">
        <f>VLOOKUP(A:A,'[1]2w &amp; 3w'!$A:$G,7,0)</f>
        <v>44</v>
      </c>
      <c r="AC96" s="63">
        <f>VLOOKUP(A:A,'[1]2w &amp; 3w'!$A:$F,6,0)</f>
        <v>10</v>
      </c>
      <c r="AD96" s="63">
        <f t="shared" si="68"/>
        <v>34</v>
      </c>
      <c r="AE96" s="46">
        <f t="shared" si="70"/>
        <v>0.22727272727272727</v>
      </c>
    </row>
    <row r="97" spans="1:31" x14ac:dyDescent="0.25">
      <c r="A97" s="61" t="s">
        <v>106</v>
      </c>
      <c r="B97" s="62"/>
      <c r="C97" s="63">
        <v>1</v>
      </c>
      <c r="D97" s="62"/>
      <c r="E97" s="62"/>
      <c r="F97" s="63">
        <f>VLOOKUP(A:A,[1]Sheet1!$A:$D,4,0)</f>
        <v>107</v>
      </c>
      <c r="G97" s="63">
        <f>VLOOKUP(A:A,[1]Sheet1!$A:$C,3,0)</f>
        <v>9</v>
      </c>
      <c r="H97" s="64">
        <f t="shared" si="87"/>
        <v>98</v>
      </c>
      <c r="I97" s="55">
        <f t="shared" si="61"/>
        <v>8.4112149532710276E-2</v>
      </c>
      <c r="K97" s="65">
        <f t="shared" si="88"/>
        <v>12.84</v>
      </c>
      <c r="L97" s="63"/>
      <c r="M97" s="64">
        <f t="shared" si="79"/>
        <v>12.84</v>
      </c>
      <c r="N97" s="46">
        <f t="shared" si="66"/>
        <v>0</v>
      </c>
      <c r="P97" s="56">
        <v>0.17799999999999999</v>
      </c>
      <c r="R97" s="57">
        <v>4.6728971962616821E-2</v>
      </c>
      <c r="S97" s="57">
        <v>2.803738317757009E-2</v>
      </c>
      <c r="T97" s="57">
        <v>9.3457943925233638E-3</v>
      </c>
      <c r="U97" s="57">
        <v>0</v>
      </c>
      <c r="W97" s="63">
        <f>VLOOKUP(A:A,'[1]2w &amp; 3w'!$A:$D,4,0)</f>
        <v>2</v>
      </c>
      <c r="X97" s="63">
        <f>VLOOKUP(A:A,'[1]2w &amp; 3w'!$A:$C,3,0)</f>
        <v>0</v>
      </c>
      <c r="Y97" s="63">
        <f t="shared" si="67"/>
        <v>2</v>
      </c>
      <c r="Z97" s="46">
        <f t="shared" si="69"/>
        <v>0</v>
      </c>
      <c r="AB97" s="63">
        <f>VLOOKUP(A:A,'[1]2w &amp; 3w'!$A:$G,7,0)</f>
        <v>105</v>
      </c>
      <c r="AC97" s="63">
        <f>VLOOKUP(A:A,'[1]2w &amp; 3w'!$A:$F,6,0)</f>
        <v>9</v>
      </c>
      <c r="AD97" s="63">
        <f t="shared" si="68"/>
        <v>96</v>
      </c>
      <c r="AE97" s="46">
        <f t="shared" si="70"/>
        <v>8.5714285714285715E-2</v>
      </c>
    </row>
    <row r="98" spans="1:31" x14ac:dyDescent="0.25">
      <c r="A98" s="58" t="s">
        <v>107</v>
      </c>
      <c r="B98" s="59"/>
      <c r="C98" s="66">
        <f>SUM(C99:C103)</f>
        <v>6</v>
      </c>
      <c r="D98" s="59"/>
      <c r="E98" s="59"/>
      <c r="F98" s="60">
        <f t="shared" ref="F98:H98" si="89">SUM(F99:F103)</f>
        <v>661</v>
      </c>
      <c r="G98" s="60">
        <f t="shared" si="89"/>
        <v>79</v>
      </c>
      <c r="H98" s="60">
        <f t="shared" si="89"/>
        <v>582</v>
      </c>
      <c r="I98" s="55">
        <f t="shared" si="61"/>
        <v>0.11951588502269289</v>
      </c>
      <c r="K98" s="60">
        <f t="shared" ref="K98:M98" si="90">SUM(K99:K103)</f>
        <v>79.319999999999993</v>
      </c>
      <c r="L98" s="60">
        <f t="shared" si="90"/>
        <v>0</v>
      </c>
      <c r="M98" s="60">
        <f t="shared" si="90"/>
        <v>79.319999999999993</v>
      </c>
      <c r="N98" s="46">
        <f t="shared" si="66"/>
        <v>0</v>
      </c>
      <c r="P98" s="56">
        <v>0.17270194986072424</v>
      </c>
      <c r="R98" s="57">
        <v>8.3207261724659615E-2</v>
      </c>
      <c r="S98" s="57">
        <v>2.118003025718608E-2</v>
      </c>
      <c r="T98" s="57">
        <v>1.2102874432677761E-2</v>
      </c>
      <c r="U98" s="57">
        <v>3.0257186081694403E-3</v>
      </c>
      <c r="W98" s="60">
        <f t="shared" ref="W98:Y98" si="91">SUM(W99:W103)</f>
        <v>273</v>
      </c>
      <c r="X98" s="60">
        <f t="shared" si="91"/>
        <v>18</v>
      </c>
      <c r="Y98" s="60">
        <f t="shared" si="91"/>
        <v>255</v>
      </c>
      <c r="Z98" s="46">
        <f t="shared" si="69"/>
        <v>6.5934065934065936E-2</v>
      </c>
      <c r="AB98" s="60">
        <f t="shared" ref="AB98:AD98" si="92">SUM(AB99:AB103)</f>
        <v>388</v>
      </c>
      <c r="AC98" s="60">
        <f t="shared" si="92"/>
        <v>61</v>
      </c>
      <c r="AD98" s="60">
        <f t="shared" si="92"/>
        <v>327</v>
      </c>
      <c r="AE98" s="46">
        <f t="shared" si="70"/>
        <v>0.15721649484536082</v>
      </c>
    </row>
    <row r="99" spans="1:31" x14ac:dyDescent="0.25">
      <c r="A99" s="61" t="s">
        <v>108</v>
      </c>
      <c r="B99" s="62"/>
      <c r="C99" s="63">
        <v>1</v>
      </c>
      <c r="D99" s="62"/>
      <c r="E99" s="62"/>
      <c r="F99" s="63">
        <f>VLOOKUP(A:A,[1]Sheet1!$A:$D,4,0)</f>
        <v>125</v>
      </c>
      <c r="G99" s="63">
        <f>VLOOKUP(A:A,[1]Sheet1!$A:$C,3,0)</f>
        <v>17</v>
      </c>
      <c r="H99" s="64">
        <f t="shared" ref="H99:H102" si="93">F99-G99</f>
        <v>108</v>
      </c>
      <c r="I99" s="55">
        <f t="shared" si="61"/>
        <v>0.13600000000000001</v>
      </c>
      <c r="K99" s="65">
        <f t="shared" ref="K99:K103" si="94">F99*12/100</f>
        <v>15</v>
      </c>
      <c r="L99" s="63"/>
      <c r="M99" s="64">
        <f t="shared" si="79"/>
        <v>15</v>
      </c>
      <c r="N99" s="46">
        <f t="shared" si="66"/>
        <v>0</v>
      </c>
      <c r="P99" s="56">
        <v>0.17171717171717171</v>
      </c>
      <c r="R99" s="57">
        <v>8.8000000000000009E-2</v>
      </c>
      <c r="S99" s="57">
        <v>3.2000000000000001E-2</v>
      </c>
      <c r="T99" s="57">
        <v>8.0000000000000002E-3</v>
      </c>
      <c r="U99" s="57">
        <v>8.0000000000000002E-3</v>
      </c>
      <c r="W99" s="63">
        <f>VLOOKUP(A:A,'[1]2w &amp; 3w'!$A:$D,4,0)</f>
        <v>2</v>
      </c>
      <c r="X99" s="63">
        <f>VLOOKUP(A:A,'[1]2w &amp; 3w'!$A:$C,3,0)</f>
        <v>0</v>
      </c>
      <c r="Y99" s="63">
        <f t="shared" si="67"/>
        <v>2</v>
      </c>
      <c r="Z99" s="46">
        <f t="shared" si="69"/>
        <v>0</v>
      </c>
      <c r="AB99" s="63">
        <f>VLOOKUP(A:A,'[1]2w &amp; 3w'!$A:$G,7,0)</f>
        <v>123</v>
      </c>
      <c r="AC99" s="63">
        <f>VLOOKUP(A:A,'[1]2w &amp; 3w'!$A:$F,6,0)</f>
        <v>17</v>
      </c>
      <c r="AD99" s="63">
        <f t="shared" si="68"/>
        <v>106</v>
      </c>
      <c r="AE99" s="46">
        <f t="shared" si="70"/>
        <v>0.13821138211382114</v>
      </c>
    </row>
    <row r="100" spans="1:31" x14ac:dyDescent="0.25">
      <c r="A100" s="61" t="s">
        <v>109</v>
      </c>
      <c r="B100" s="62"/>
      <c r="C100" s="63">
        <v>1</v>
      </c>
      <c r="D100" s="62"/>
      <c r="E100" s="62"/>
      <c r="F100" s="63">
        <f>VLOOKUP(A:A,[1]Sheet1!$A:$D,4,0)</f>
        <v>150</v>
      </c>
      <c r="G100" s="63">
        <f>VLOOKUP(A:A,[1]Sheet1!$A:$C,3,0)</f>
        <v>7</v>
      </c>
      <c r="H100" s="64">
        <f t="shared" si="93"/>
        <v>143</v>
      </c>
      <c r="I100" s="55">
        <f t="shared" si="61"/>
        <v>4.6666666666666669E-2</v>
      </c>
      <c r="K100" s="65">
        <f t="shared" si="94"/>
        <v>18</v>
      </c>
      <c r="L100" s="63"/>
      <c r="M100" s="64">
        <f t="shared" si="79"/>
        <v>18</v>
      </c>
      <c r="N100" s="46">
        <f t="shared" si="66"/>
        <v>0</v>
      </c>
      <c r="P100" s="56">
        <v>0.15602836879432624</v>
      </c>
      <c r="R100" s="57">
        <v>2.6666666666666668E-2</v>
      </c>
      <c r="S100" s="57">
        <v>0</v>
      </c>
      <c r="T100" s="57">
        <v>0.02</v>
      </c>
      <c r="U100" s="57">
        <v>0</v>
      </c>
      <c r="W100" s="63">
        <f>VLOOKUP(A:A,'[1]2w &amp; 3w'!$A:$D,4,0)</f>
        <v>150</v>
      </c>
      <c r="X100" s="63">
        <f>VLOOKUP(A:A,'[1]2w &amp; 3w'!$A:$C,3,0)</f>
        <v>7</v>
      </c>
      <c r="Y100" s="63">
        <f t="shared" si="67"/>
        <v>143</v>
      </c>
      <c r="Z100" s="46">
        <f t="shared" si="69"/>
        <v>4.6666666666666669E-2</v>
      </c>
      <c r="AB100" s="63">
        <f>VLOOKUP(A:A,'[1]2w &amp; 3w'!$A:$G,7,0)</f>
        <v>0</v>
      </c>
      <c r="AC100" s="63">
        <f>VLOOKUP(A:A,'[1]2w &amp; 3w'!$A:$F,6,0)</f>
        <v>0</v>
      </c>
      <c r="AD100" s="63">
        <f t="shared" si="68"/>
        <v>0</v>
      </c>
      <c r="AE100" s="46" t="e">
        <f t="shared" si="70"/>
        <v>#DIV/0!</v>
      </c>
    </row>
    <row r="101" spans="1:31" x14ac:dyDescent="0.25">
      <c r="A101" s="61" t="s">
        <v>110</v>
      </c>
      <c r="B101" s="79"/>
      <c r="C101" s="63">
        <v>1</v>
      </c>
      <c r="D101" s="62"/>
      <c r="E101" s="62"/>
      <c r="F101" s="63">
        <f>VLOOKUP(A:A,[1]Sheet1!$A:$D,4,0)</f>
        <v>72</v>
      </c>
      <c r="G101" s="63">
        <f>VLOOKUP(A:A,[1]Sheet1!$A:$C,3,0)</f>
        <v>7</v>
      </c>
      <c r="H101" s="64">
        <f t="shared" si="93"/>
        <v>65</v>
      </c>
      <c r="I101" s="55">
        <f>G101/F101</f>
        <v>9.7222222222222224E-2</v>
      </c>
      <c r="K101" s="65">
        <f t="shared" si="94"/>
        <v>8.64</v>
      </c>
      <c r="L101" s="63"/>
      <c r="M101" s="64">
        <f t="shared" si="79"/>
        <v>8.64</v>
      </c>
      <c r="N101" s="46">
        <f t="shared" si="66"/>
        <v>0</v>
      </c>
      <c r="P101" s="56">
        <v>0.11627906976744186</v>
      </c>
      <c r="R101" s="57">
        <v>8.3333333333333343E-2</v>
      </c>
      <c r="S101" s="57">
        <v>0</v>
      </c>
      <c r="T101" s="57">
        <v>1.3888888888888888E-2</v>
      </c>
      <c r="U101" s="57">
        <v>0</v>
      </c>
      <c r="W101" s="63">
        <f>VLOOKUP(A:A,'[1]2w &amp; 3w'!$A:$D,4,0)</f>
        <v>5</v>
      </c>
      <c r="X101" s="63">
        <f>VLOOKUP(A:A,'[1]2w &amp; 3w'!$A:$C,3,0)</f>
        <v>1</v>
      </c>
      <c r="Y101" s="63">
        <f t="shared" si="67"/>
        <v>4</v>
      </c>
      <c r="Z101" s="46">
        <f t="shared" si="69"/>
        <v>0.2</v>
      </c>
      <c r="AB101" s="63">
        <f>VLOOKUP(A:A,'[1]2w &amp; 3w'!$A:$G,7,0)</f>
        <v>67</v>
      </c>
      <c r="AC101" s="63">
        <f>VLOOKUP(A:A,'[1]2w &amp; 3w'!$A:$F,6,0)</f>
        <v>6</v>
      </c>
      <c r="AD101" s="63">
        <f t="shared" si="68"/>
        <v>61</v>
      </c>
      <c r="AE101" s="46">
        <f t="shared" si="70"/>
        <v>8.9552238805970144E-2</v>
      </c>
    </row>
    <row r="102" spans="1:31" x14ac:dyDescent="0.25">
      <c r="A102" s="61" t="s">
        <v>111</v>
      </c>
      <c r="B102" s="62"/>
      <c r="C102" s="63">
        <v>1</v>
      </c>
      <c r="D102" s="62"/>
      <c r="E102" s="62"/>
      <c r="F102" s="63">
        <f>VLOOKUP(A:A,[1]Sheet1!$A:$D,4,0)</f>
        <v>140</v>
      </c>
      <c r="G102" s="63">
        <f>VLOOKUP(A:A,[1]Sheet1!$A:$C,3,0)</f>
        <v>25</v>
      </c>
      <c r="H102" s="64">
        <f t="shared" si="93"/>
        <v>115</v>
      </c>
      <c r="I102" s="55">
        <f t="shared" si="61"/>
        <v>0.17857142857142858</v>
      </c>
      <c r="K102" s="65">
        <f t="shared" si="94"/>
        <v>16.8</v>
      </c>
      <c r="L102" s="63"/>
      <c r="M102" s="64">
        <f t="shared" si="79"/>
        <v>16.8</v>
      </c>
      <c r="N102" s="46">
        <f t="shared" si="66"/>
        <v>0</v>
      </c>
      <c r="P102" s="56">
        <v>0.17757009345794392</v>
      </c>
      <c r="R102" s="57">
        <v>0.13571428571428573</v>
      </c>
      <c r="S102" s="57">
        <v>2.8571428571428574E-2</v>
      </c>
      <c r="T102" s="57">
        <v>1.4285714285714285E-2</v>
      </c>
      <c r="U102" s="57">
        <v>0</v>
      </c>
      <c r="W102" s="63">
        <f>VLOOKUP(A:A,'[1]2w &amp; 3w'!$A:$D,4,0)</f>
        <v>0</v>
      </c>
      <c r="X102" s="63">
        <f>VLOOKUP(A:A,'[1]2w &amp; 3w'!$A:$C,3,0)</f>
        <v>0</v>
      </c>
      <c r="Y102" s="63">
        <f t="shared" si="67"/>
        <v>0</v>
      </c>
      <c r="Z102" s="46">
        <v>0</v>
      </c>
      <c r="AB102" s="63">
        <f>VLOOKUP(A:A,'[1]2w &amp; 3w'!$A:$G,7,0)</f>
        <v>140</v>
      </c>
      <c r="AC102" s="63">
        <f>VLOOKUP(A:A,'[1]2w &amp; 3w'!$A:$F,6,0)</f>
        <v>25</v>
      </c>
      <c r="AD102" s="63">
        <f t="shared" si="68"/>
        <v>115</v>
      </c>
      <c r="AE102" s="46">
        <f t="shared" si="70"/>
        <v>0.17857142857142858</v>
      </c>
    </row>
    <row r="103" spans="1:31" x14ac:dyDescent="0.25">
      <c r="A103" s="61" t="s">
        <v>112</v>
      </c>
      <c r="B103" s="62"/>
      <c r="C103" s="63">
        <v>2</v>
      </c>
      <c r="D103" s="62"/>
      <c r="E103" s="62"/>
      <c r="F103" s="63">
        <f>VLOOKUP(A:A,[1]Sheet1!$A:$D,4,0)</f>
        <v>174</v>
      </c>
      <c r="G103" s="63">
        <f>VLOOKUP(A:A,[1]Sheet1!$A:$C,3,0)</f>
        <v>23</v>
      </c>
      <c r="H103" s="64">
        <f>F103-G103</f>
        <v>151</v>
      </c>
      <c r="I103" s="55">
        <f>G103/F103</f>
        <v>0.13218390804597702</v>
      </c>
      <c r="K103" s="65">
        <f t="shared" si="94"/>
        <v>20.88</v>
      </c>
      <c r="L103" s="63"/>
      <c r="M103" s="64">
        <f t="shared" si="79"/>
        <v>20.88</v>
      </c>
      <c r="N103" s="46">
        <f t="shared" si="66"/>
        <v>0</v>
      </c>
      <c r="P103" s="56">
        <v>0.20786516853932585</v>
      </c>
      <c r="R103" s="57">
        <v>8.6206896551724144E-2</v>
      </c>
      <c r="S103" s="57">
        <v>3.4482758620689655E-2</v>
      </c>
      <c r="T103" s="57">
        <v>5.7471264367816091E-3</v>
      </c>
      <c r="U103" s="57">
        <v>5.7471264367816091E-3</v>
      </c>
      <c r="W103" s="63">
        <f>VLOOKUP(A:A,'[1]2w &amp; 3w'!$A:$D,4,0)</f>
        <v>116</v>
      </c>
      <c r="X103" s="63">
        <f>VLOOKUP(A:A,'[1]2w &amp; 3w'!$A:$C,3,0)</f>
        <v>10</v>
      </c>
      <c r="Y103" s="63">
        <f t="shared" si="67"/>
        <v>106</v>
      </c>
      <c r="Z103" s="46">
        <f t="shared" si="69"/>
        <v>8.6206896551724144E-2</v>
      </c>
      <c r="AB103" s="63">
        <f>VLOOKUP(A:A,'[1]2w &amp; 3w'!$A:$G,7,0)</f>
        <v>58</v>
      </c>
      <c r="AC103" s="63">
        <f>VLOOKUP(A:A,'[1]2w &amp; 3w'!$A:$F,6,0)</f>
        <v>13</v>
      </c>
      <c r="AD103" s="63">
        <f t="shared" si="68"/>
        <v>45</v>
      </c>
      <c r="AE103" s="46">
        <f t="shared" si="70"/>
        <v>0.22413793103448276</v>
      </c>
    </row>
    <row r="104" spans="1:31" x14ac:dyDescent="0.25">
      <c r="A104" s="58" t="s">
        <v>113</v>
      </c>
      <c r="B104" s="59"/>
      <c r="C104" s="66">
        <f>SUM(C105:C107)</f>
        <v>2</v>
      </c>
      <c r="D104" s="59"/>
      <c r="E104" s="59"/>
      <c r="F104" s="60">
        <f>SUM(F105:F108)</f>
        <v>350</v>
      </c>
      <c r="G104" s="60">
        <f t="shared" ref="G104:H104" si="95">SUM(G105:G108)</f>
        <v>34</v>
      </c>
      <c r="H104" s="60">
        <f t="shared" si="95"/>
        <v>316</v>
      </c>
      <c r="I104" s="55">
        <f t="shared" si="61"/>
        <v>9.7142857142857142E-2</v>
      </c>
      <c r="K104" s="60">
        <f>SUM(K105:K108)</f>
        <v>42</v>
      </c>
      <c r="L104" s="60">
        <f>SUM(L105:L108)</f>
        <v>0</v>
      </c>
      <c r="M104" s="60">
        <f t="shared" ref="M104" si="96">SUM(M105:M108)</f>
        <v>42</v>
      </c>
      <c r="N104" s="46">
        <f t="shared" si="66"/>
        <v>0</v>
      </c>
      <c r="P104" s="56">
        <v>0.10100000000000001</v>
      </c>
      <c r="R104" s="57">
        <v>6.5714285714285711E-2</v>
      </c>
      <c r="S104" s="57">
        <v>2.5714285714285717E-2</v>
      </c>
      <c r="T104" s="57">
        <v>5.7142857142857143E-3</v>
      </c>
      <c r="U104" s="57">
        <v>0</v>
      </c>
      <c r="W104" s="60">
        <f>SUM(W105:W108)</f>
        <v>211</v>
      </c>
      <c r="X104" s="60">
        <f t="shared" ref="X104:Y104" si="97">SUM(X105:X108)</f>
        <v>15</v>
      </c>
      <c r="Y104" s="60">
        <f t="shared" si="97"/>
        <v>196</v>
      </c>
      <c r="Z104" s="46">
        <f t="shared" si="69"/>
        <v>7.1090047393364927E-2</v>
      </c>
      <c r="AB104" s="60">
        <f>SUM(AB105:AB108)</f>
        <v>139</v>
      </c>
      <c r="AC104" s="60">
        <f t="shared" ref="AC104:AD104" si="98">SUM(AC105:AC108)</f>
        <v>19</v>
      </c>
      <c r="AD104" s="60">
        <f t="shared" si="98"/>
        <v>120</v>
      </c>
      <c r="AE104" s="46">
        <f t="shared" si="70"/>
        <v>0.1366906474820144</v>
      </c>
    </row>
    <row r="105" spans="1:31" x14ac:dyDescent="0.25">
      <c r="A105" s="61" t="s">
        <v>114</v>
      </c>
      <c r="B105" s="62"/>
      <c r="C105" s="63">
        <v>1</v>
      </c>
      <c r="D105" s="62"/>
      <c r="E105" s="62"/>
      <c r="F105" s="63">
        <f>VLOOKUP(A:A,[1]Sheet1!$A:$D,4,0)</f>
        <v>78</v>
      </c>
      <c r="G105" s="63">
        <f>VLOOKUP(A:A,[1]Sheet1!$A:$C,3,0)</f>
        <v>13</v>
      </c>
      <c r="H105" s="64">
        <f t="shared" ref="H105:H108" si="99">F105-G105</f>
        <v>65</v>
      </c>
      <c r="I105" s="55">
        <f t="shared" si="61"/>
        <v>0.16666666666666666</v>
      </c>
      <c r="K105" s="65">
        <f t="shared" ref="K105:K108" si="100">F105*12/100</f>
        <v>9.36</v>
      </c>
      <c r="L105" s="63"/>
      <c r="M105" s="64">
        <f t="shared" si="79"/>
        <v>9.36</v>
      </c>
      <c r="N105" s="46">
        <f t="shared" si="66"/>
        <v>0</v>
      </c>
      <c r="P105" s="56">
        <v>0.14864864864864866</v>
      </c>
      <c r="R105" s="57">
        <v>0.12820512820512819</v>
      </c>
      <c r="S105" s="57">
        <v>3.8461538461538464E-2</v>
      </c>
      <c r="T105" s="57">
        <v>0</v>
      </c>
      <c r="U105" s="57">
        <v>0</v>
      </c>
      <c r="W105" s="63">
        <f>VLOOKUP(A:A,'[1]2w &amp; 3w'!$A:$D,4,0)</f>
        <v>26</v>
      </c>
      <c r="X105" s="63">
        <f>VLOOKUP(A:A,'[1]2w &amp; 3w'!$A:$C,3,0)</f>
        <v>3</v>
      </c>
      <c r="Y105" s="63">
        <f t="shared" si="67"/>
        <v>23</v>
      </c>
      <c r="Z105" s="46">
        <f t="shared" si="69"/>
        <v>0.11538461538461539</v>
      </c>
      <c r="AB105" s="63">
        <f>VLOOKUP(A:A,'[1]2w &amp; 3w'!$A:$G,7,0)</f>
        <v>52</v>
      </c>
      <c r="AC105" s="63">
        <f>VLOOKUP(A:A,'[1]2w &amp; 3w'!$A:$F,6,0)</f>
        <v>10</v>
      </c>
      <c r="AD105" s="63">
        <f t="shared" si="68"/>
        <v>42</v>
      </c>
      <c r="AE105" s="46">
        <f t="shared" si="70"/>
        <v>0.19230769230769232</v>
      </c>
    </row>
    <row r="106" spans="1:31" x14ac:dyDescent="0.25">
      <c r="A106" s="61" t="s">
        <v>115</v>
      </c>
      <c r="B106" s="62"/>
      <c r="C106" s="63"/>
      <c r="D106" s="62" t="s">
        <v>50</v>
      </c>
      <c r="E106" s="62"/>
      <c r="F106" s="63">
        <f>VLOOKUP(A:A,[1]Sheet1!$A:$D,4,0)</f>
        <v>31</v>
      </c>
      <c r="G106" s="63">
        <f>VLOOKUP(A:A,[1]Sheet1!$A:$C,3,0)</f>
        <v>2</v>
      </c>
      <c r="H106" s="64">
        <f t="shared" si="99"/>
        <v>29</v>
      </c>
      <c r="I106" s="55">
        <f t="shared" si="61"/>
        <v>6.4516129032258063E-2</v>
      </c>
      <c r="K106" s="65">
        <f t="shared" si="100"/>
        <v>3.72</v>
      </c>
      <c r="L106" s="63"/>
      <c r="M106" s="64">
        <f t="shared" si="79"/>
        <v>3.72</v>
      </c>
      <c r="N106" s="46">
        <f t="shared" si="66"/>
        <v>0</v>
      </c>
      <c r="P106" s="56">
        <v>3.5714285714285712E-2</v>
      </c>
      <c r="R106" s="57">
        <v>3.2258064516129031E-2</v>
      </c>
      <c r="S106" s="57">
        <v>3.2258064516129031E-2</v>
      </c>
      <c r="T106" s="57">
        <v>0</v>
      </c>
      <c r="U106" s="57">
        <v>0</v>
      </c>
      <c r="W106" s="63">
        <f>VLOOKUP(A:A,'[1]2w &amp; 3w'!$A:$D,4,0)</f>
        <v>30</v>
      </c>
      <c r="X106" s="63">
        <f>VLOOKUP(A:A,'[1]2w &amp; 3w'!$A:$C,3,0)</f>
        <v>2</v>
      </c>
      <c r="Y106" s="63">
        <f t="shared" si="67"/>
        <v>28</v>
      </c>
      <c r="Z106" s="46">
        <f t="shared" si="69"/>
        <v>6.6666666666666666E-2</v>
      </c>
      <c r="AB106" s="63">
        <f>VLOOKUP(A:A,'[1]2w &amp; 3w'!$A:$G,7,0)</f>
        <v>1</v>
      </c>
      <c r="AC106" s="63">
        <f>VLOOKUP(A:A,'[1]2w &amp; 3w'!$A:$F,6,0)</f>
        <v>0</v>
      </c>
      <c r="AD106" s="63">
        <f t="shared" si="68"/>
        <v>1</v>
      </c>
      <c r="AE106" s="46">
        <f t="shared" si="70"/>
        <v>0</v>
      </c>
    </row>
    <row r="107" spans="1:31" x14ac:dyDescent="0.25">
      <c r="A107" s="61" t="s">
        <v>116</v>
      </c>
      <c r="B107" s="62" t="s">
        <v>20</v>
      </c>
      <c r="C107" s="63">
        <v>1</v>
      </c>
      <c r="D107" s="62"/>
      <c r="E107" s="62"/>
      <c r="F107" s="63">
        <f>VLOOKUP(A:A,[1]Sheet1!$A:$D,4,0)</f>
        <v>122</v>
      </c>
      <c r="G107" s="63">
        <f>VLOOKUP(A:A,[1]Sheet1!$A:$C,3,0)</f>
        <v>10</v>
      </c>
      <c r="H107" s="64">
        <f t="shared" si="99"/>
        <v>112</v>
      </c>
      <c r="I107" s="55">
        <f t="shared" si="61"/>
        <v>8.1967213114754092E-2</v>
      </c>
      <c r="K107" s="65">
        <f t="shared" si="100"/>
        <v>14.64</v>
      </c>
      <c r="L107" s="63"/>
      <c r="M107" s="64">
        <f t="shared" si="79"/>
        <v>14.64</v>
      </c>
      <c r="N107" s="46">
        <f t="shared" si="66"/>
        <v>0</v>
      </c>
      <c r="P107" s="56">
        <v>0.10687022900763359</v>
      </c>
      <c r="R107" s="57">
        <v>4.9180327868852451E-2</v>
      </c>
      <c r="S107" s="57">
        <v>2.4590163934426229E-2</v>
      </c>
      <c r="T107" s="57">
        <v>8.1967213114754103E-3</v>
      </c>
      <c r="U107" s="57">
        <v>0</v>
      </c>
      <c r="W107" s="63">
        <f>VLOOKUP(A:A,'[1]2w &amp; 3w'!$A:$D,4,0)</f>
        <v>95</v>
      </c>
      <c r="X107" s="63">
        <f>VLOOKUP(A:A,'[1]2w &amp; 3w'!$A:$C,3,0)</f>
        <v>9</v>
      </c>
      <c r="Y107" s="63">
        <f t="shared" si="67"/>
        <v>86</v>
      </c>
      <c r="Z107" s="46">
        <f t="shared" si="69"/>
        <v>9.4736842105263161E-2</v>
      </c>
      <c r="AB107" s="63">
        <f>VLOOKUP(A:A,'[1]2w &amp; 3w'!$A:$G,7,0)</f>
        <v>27</v>
      </c>
      <c r="AC107" s="63">
        <f>VLOOKUP(A:A,'[1]2w &amp; 3w'!$A:$F,6,0)</f>
        <v>1</v>
      </c>
      <c r="AD107" s="63">
        <f t="shared" si="68"/>
        <v>26</v>
      </c>
      <c r="AE107" s="46">
        <f t="shared" si="70"/>
        <v>3.7037037037037035E-2</v>
      </c>
    </row>
    <row r="108" spans="1:31" x14ac:dyDescent="0.25">
      <c r="A108" s="61" t="s">
        <v>117</v>
      </c>
      <c r="B108" s="62"/>
      <c r="C108" s="63"/>
      <c r="D108" s="62"/>
      <c r="E108" s="62"/>
      <c r="F108" s="63">
        <f>VLOOKUP(A:A,[1]Sheet1!$A:$D,4,0)</f>
        <v>119</v>
      </c>
      <c r="G108" s="63">
        <f>VLOOKUP(A:A,[1]Sheet1!$A:$C,3,0)</f>
        <v>9</v>
      </c>
      <c r="H108" s="64">
        <f t="shared" si="99"/>
        <v>110</v>
      </c>
      <c r="I108" s="55">
        <f t="shared" si="61"/>
        <v>7.5630252100840331E-2</v>
      </c>
      <c r="K108" s="65">
        <f t="shared" si="100"/>
        <v>14.28</v>
      </c>
      <c r="L108" s="63"/>
      <c r="M108" s="64">
        <f t="shared" si="79"/>
        <v>14.28</v>
      </c>
      <c r="N108" s="46">
        <f t="shared" si="66"/>
        <v>0</v>
      </c>
      <c r="P108" s="56">
        <v>0.11475409836065574</v>
      </c>
      <c r="R108" s="57">
        <v>5.0420168067226885E-2</v>
      </c>
      <c r="S108" s="57">
        <v>1.6806722689075633E-2</v>
      </c>
      <c r="T108" s="57">
        <v>8.4033613445378148E-3</v>
      </c>
      <c r="U108" s="57">
        <v>0</v>
      </c>
      <c r="W108" s="63">
        <f>VLOOKUP(A:A,'[1]2w &amp; 3w'!$A:$D,4,0)</f>
        <v>60</v>
      </c>
      <c r="X108" s="63">
        <f>VLOOKUP(A:A,'[1]2w &amp; 3w'!$A:$C,3,0)</f>
        <v>1</v>
      </c>
      <c r="Y108" s="63">
        <f t="shared" si="67"/>
        <v>59</v>
      </c>
      <c r="Z108" s="46">
        <f t="shared" si="69"/>
        <v>1.6666666666666666E-2</v>
      </c>
      <c r="AB108" s="63">
        <f>VLOOKUP(A:A,'[1]2w &amp; 3w'!$A:$G,7,0)</f>
        <v>59</v>
      </c>
      <c r="AC108" s="63">
        <f>VLOOKUP(A:A,'[1]2w &amp; 3w'!$A:$F,6,0)</f>
        <v>8</v>
      </c>
      <c r="AD108" s="63">
        <f t="shared" si="68"/>
        <v>51</v>
      </c>
      <c r="AE108" s="46">
        <f t="shared" si="70"/>
        <v>0.13559322033898305</v>
      </c>
    </row>
    <row r="109" spans="1:31" x14ac:dyDescent="0.25">
      <c r="A109" s="67" t="s">
        <v>118</v>
      </c>
      <c r="B109" s="59"/>
      <c r="C109" s="60">
        <f>SUM(C110:C118)</f>
        <v>7</v>
      </c>
      <c r="D109" s="59"/>
      <c r="E109" s="59"/>
      <c r="F109" s="60">
        <f t="shared" ref="F109:H109" si="101">SUM(F110:F118)</f>
        <v>689</v>
      </c>
      <c r="G109" s="60">
        <f t="shared" si="101"/>
        <v>69</v>
      </c>
      <c r="H109" s="60">
        <f t="shared" si="101"/>
        <v>620</v>
      </c>
      <c r="I109" s="55">
        <f t="shared" si="61"/>
        <v>0.10014513788098693</v>
      </c>
      <c r="J109" s="78"/>
      <c r="K109" s="60">
        <f t="shared" ref="K109:M109" si="102">SUM(K110:K118)</f>
        <v>82.679999999999993</v>
      </c>
      <c r="L109" s="60">
        <f t="shared" si="102"/>
        <v>0</v>
      </c>
      <c r="M109" s="60">
        <f t="shared" si="102"/>
        <v>82.679999999999993</v>
      </c>
      <c r="N109" s="46">
        <f t="shared" si="66"/>
        <v>0</v>
      </c>
      <c r="P109" s="56">
        <v>0.14415584415584415</v>
      </c>
      <c r="R109" s="57">
        <v>6.966618287373004E-2</v>
      </c>
      <c r="S109" s="57">
        <v>2.1770682148040642E-2</v>
      </c>
      <c r="T109" s="57">
        <v>5.8055152394775027E-3</v>
      </c>
      <c r="U109" s="57">
        <v>2.9027576197387518E-3</v>
      </c>
      <c r="W109" s="60">
        <f t="shared" ref="W109:Y109" si="103">SUM(W110:W118)</f>
        <v>491</v>
      </c>
      <c r="X109" s="60">
        <f t="shared" si="103"/>
        <v>41</v>
      </c>
      <c r="Y109" s="60">
        <f t="shared" si="103"/>
        <v>450</v>
      </c>
      <c r="Z109" s="46">
        <f t="shared" si="69"/>
        <v>8.3503054989816694E-2</v>
      </c>
      <c r="AB109" s="60">
        <f t="shared" ref="AB109:AD109" si="104">SUM(AB110:AB118)</f>
        <v>198</v>
      </c>
      <c r="AC109" s="60">
        <f t="shared" si="104"/>
        <v>28</v>
      </c>
      <c r="AD109" s="60">
        <f t="shared" si="104"/>
        <v>170</v>
      </c>
      <c r="AE109" s="46">
        <f t="shared" si="70"/>
        <v>0.14141414141414141</v>
      </c>
    </row>
    <row r="110" spans="1:31" x14ac:dyDescent="0.25">
      <c r="A110" s="61" t="s">
        <v>119</v>
      </c>
      <c r="B110" s="62"/>
      <c r="C110" s="63">
        <v>1</v>
      </c>
      <c r="D110" s="62"/>
      <c r="E110" s="80"/>
      <c r="F110" s="63">
        <f>VLOOKUP(A:A,[1]Sheet1!$A:$D,4,0)</f>
        <v>58</v>
      </c>
      <c r="G110" s="63">
        <f>VLOOKUP(A:A,[1]Sheet1!$A:$C,3,0)</f>
        <v>9</v>
      </c>
      <c r="H110" s="64">
        <f t="shared" ref="H110:H118" si="105">F110-G110</f>
        <v>49</v>
      </c>
      <c r="I110" s="55">
        <f t="shared" si="61"/>
        <v>0.15517241379310345</v>
      </c>
      <c r="K110" s="65">
        <f t="shared" ref="K110:K118" si="106">F110*12/100</f>
        <v>6.96</v>
      </c>
      <c r="L110" s="63"/>
      <c r="M110" s="64">
        <f t="shared" si="79"/>
        <v>6.96</v>
      </c>
      <c r="N110" s="46">
        <f t="shared" si="66"/>
        <v>0</v>
      </c>
      <c r="P110" s="56">
        <v>0.11267605633802817</v>
      </c>
      <c r="R110" s="57">
        <v>0.1206896551724138</v>
      </c>
      <c r="S110" s="57">
        <v>1.7241379310344827E-2</v>
      </c>
      <c r="T110" s="57">
        <v>1.7241379310344827E-2</v>
      </c>
      <c r="U110" s="57">
        <v>0</v>
      </c>
      <c r="W110" s="63">
        <f>VLOOKUP(A:A,'[1]2w &amp; 3w'!$A:$D,4,0)</f>
        <v>14</v>
      </c>
      <c r="X110" s="63">
        <f>VLOOKUP(A:A,'[1]2w &amp; 3w'!$A:$C,3,0)</f>
        <v>0</v>
      </c>
      <c r="Y110" s="63">
        <f t="shared" si="67"/>
        <v>14</v>
      </c>
      <c r="Z110" s="46">
        <f t="shared" si="69"/>
        <v>0</v>
      </c>
      <c r="AB110" s="63">
        <f>VLOOKUP(A:A,'[1]2w &amp; 3w'!$A:$G,7,0)</f>
        <v>44</v>
      </c>
      <c r="AC110" s="63">
        <f>VLOOKUP(A:A,'[1]2w &amp; 3w'!$A:$F,6,0)</f>
        <v>9</v>
      </c>
      <c r="AD110" s="63">
        <f t="shared" si="68"/>
        <v>35</v>
      </c>
      <c r="AE110" s="46">
        <f t="shared" si="70"/>
        <v>0.20454545454545456</v>
      </c>
    </row>
    <row r="111" spans="1:31" x14ac:dyDescent="0.25">
      <c r="A111" s="61" t="s">
        <v>120</v>
      </c>
      <c r="B111" s="62"/>
      <c r="C111" s="63"/>
      <c r="D111" s="63" t="s">
        <v>50</v>
      </c>
      <c r="F111" s="63">
        <f>VLOOKUP(A:A,[1]Sheet1!$A:$D,4,0)</f>
        <v>17</v>
      </c>
      <c r="G111" s="63">
        <f>VLOOKUP(A:A,[1]Sheet1!$A:$C,3,0)</f>
        <v>0</v>
      </c>
      <c r="H111" s="64">
        <f>F111-G111</f>
        <v>17</v>
      </c>
      <c r="I111" s="55">
        <f>G111/F111</f>
        <v>0</v>
      </c>
      <c r="K111" s="65">
        <f t="shared" si="106"/>
        <v>2.04</v>
      </c>
      <c r="L111" s="63"/>
      <c r="M111" s="64">
        <f t="shared" si="79"/>
        <v>2.04</v>
      </c>
      <c r="N111" s="46">
        <f t="shared" si="66"/>
        <v>0</v>
      </c>
      <c r="P111" s="56">
        <v>7.8431372549019607E-2</v>
      </c>
      <c r="R111" s="57">
        <v>0</v>
      </c>
      <c r="S111" s="57">
        <v>0</v>
      </c>
      <c r="T111" s="57">
        <v>0</v>
      </c>
      <c r="U111" s="57">
        <v>0</v>
      </c>
      <c r="W111" s="63">
        <f>VLOOKUP(A:A,'[1]2w &amp; 3w'!$A:$D,4,0)</f>
        <v>17</v>
      </c>
      <c r="X111" s="63">
        <f>VLOOKUP(A:A,'[1]2w &amp; 3w'!$A:$C,3,0)</f>
        <v>0</v>
      </c>
      <c r="Y111" s="63">
        <f t="shared" si="67"/>
        <v>17</v>
      </c>
      <c r="Z111" s="46">
        <f t="shared" si="69"/>
        <v>0</v>
      </c>
      <c r="AB111" s="63">
        <f>VLOOKUP(A:A,'[1]2w &amp; 3w'!$A:$G,7,0)</f>
        <v>0</v>
      </c>
      <c r="AC111" s="63">
        <f>VLOOKUP(A:A,'[1]2w &amp; 3w'!$A:$F,6,0)</f>
        <v>0</v>
      </c>
      <c r="AD111" s="63">
        <f t="shared" si="68"/>
        <v>0</v>
      </c>
      <c r="AE111" s="46">
        <v>0</v>
      </c>
    </row>
    <row r="112" spans="1:31" x14ac:dyDescent="0.25">
      <c r="A112" s="61" t="s">
        <v>121</v>
      </c>
      <c r="B112" s="62"/>
      <c r="C112" s="63">
        <v>1</v>
      </c>
      <c r="D112" s="62"/>
      <c r="E112" s="80"/>
      <c r="F112" s="63">
        <f>VLOOKUP(A:A,[1]Sheet1!$A:$D,4,0)</f>
        <v>120</v>
      </c>
      <c r="G112" s="63">
        <f>VLOOKUP(A:A,[1]Sheet1!$A:$C,3,0)</f>
        <v>7</v>
      </c>
      <c r="H112" s="64">
        <f t="shared" si="105"/>
        <v>113</v>
      </c>
      <c r="I112" s="55">
        <f t="shared" si="61"/>
        <v>5.8333333333333334E-2</v>
      </c>
      <c r="K112" s="65">
        <f t="shared" si="106"/>
        <v>14.4</v>
      </c>
      <c r="L112" s="63"/>
      <c r="M112" s="64">
        <f t="shared" si="79"/>
        <v>14.4</v>
      </c>
      <c r="N112" s="46">
        <f t="shared" si="66"/>
        <v>0</v>
      </c>
      <c r="P112" s="56">
        <v>0.16666666666666666</v>
      </c>
      <c r="R112" s="57">
        <v>4.1666666666666671E-2</v>
      </c>
      <c r="S112" s="57">
        <v>1.6666666666666666E-2</v>
      </c>
      <c r="T112" s="57">
        <v>0</v>
      </c>
      <c r="U112" s="57">
        <v>0</v>
      </c>
      <c r="W112" s="63">
        <f>VLOOKUP(A:A,'[1]2w &amp; 3w'!$A:$D,4,0)</f>
        <v>116</v>
      </c>
      <c r="X112" s="63">
        <f>VLOOKUP(A:A,'[1]2w &amp; 3w'!$A:$C,3,0)</f>
        <v>6</v>
      </c>
      <c r="Y112" s="63">
        <f t="shared" si="67"/>
        <v>110</v>
      </c>
      <c r="Z112" s="46">
        <f t="shared" si="69"/>
        <v>5.1724137931034482E-2</v>
      </c>
      <c r="AB112" s="63">
        <f>VLOOKUP(A:A,'[1]2w &amp; 3w'!$A:$G,7,0)</f>
        <v>4</v>
      </c>
      <c r="AC112" s="63">
        <f>VLOOKUP(A:A,'[1]2w &amp; 3w'!$A:$F,6,0)</f>
        <v>1</v>
      </c>
      <c r="AD112" s="63">
        <f t="shared" si="68"/>
        <v>3</v>
      </c>
      <c r="AE112" s="46">
        <f t="shared" si="70"/>
        <v>0.25</v>
      </c>
    </row>
    <row r="113" spans="1:31" x14ac:dyDescent="0.25">
      <c r="A113" s="61" t="s">
        <v>122</v>
      </c>
      <c r="B113" s="62"/>
      <c r="C113" s="63">
        <v>1</v>
      </c>
      <c r="D113" s="62"/>
      <c r="E113" s="80"/>
      <c r="F113" s="63">
        <f>VLOOKUP(A:A,[1]Sheet1!$A:$D,4,0)</f>
        <v>84</v>
      </c>
      <c r="G113" s="63">
        <f>VLOOKUP(A:A,[1]Sheet1!$A:$C,3,0)</f>
        <v>9</v>
      </c>
      <c r="H113" s="64">
        <f t="shared" si="105"/>
        <v>75</v>
      </c>
      <c r="I113" s="55">
        <f t="shared" si="61"/>
        <v>0.10714285714285714</v>
      </c>
      <c r="K113" s="65">
        <f t="shared" si="106"/>
        <v>10.08</v>
      </c>
      <c r="L113" s="63"/>
      <c r="M113" s="64">
        <f t="shared" si="79"/>
        <v>10.08</v>
      </c>
      <c r="N113" s="46">
        <f t="shared" si="66"/>
        <v>0</v>
      </c>
      <c r="P113" s="56">
        <v>0.16666666666666666</v>
      </c>
      <c r="R113" s="57">
        <v>5.9523809523809521E-2</v>
      </c>
      <c r="S113" s="57">
        <v>3.5714285714285712E-2</v>
      </c>
      <c r="T113" s="57">
        <v>1.1904761904761904E-2</v>
      </c>
      <c r="U113" s="57">
        <v>0</v>
      </c>
      <c r="W113" s="63">
        <f>VLOOKUP(A:A,'[1]2w &amp; 3w'!$A:$D,4,0)</f>
        <v>84</v>
      </c>
      <c r="X113" s="63">
        <f>VLOOKUP(A:A,'[1]2w &amp; 3w'!$A:$C,3,0)</f>
        <v>9</v>
      </c>
      <c r="Y113" s="63">
        <f t="shared" si="67"/>
        <v>75</v>
      </c>
      <c r="Z113" s="46">
        <f t="shared" si="69"/>
        <v>0.10714285714285714</v>
      </c>
      <c r="AB113" s="63">
        <f>VLOOKUP(A:A,'[1]2w &amp; 3w'!$A:$G,7,0)</f>
        <v>0</v>
      </c>
      <c r="AC113" s="63">
        <f>VLOOKUP(A:A,'[1]2w &amp; 3w'!$A:$F,6,0)</f>
        <v>0</v>
      </c>
      <c r="AD113" s="63">
        <f t="shared" si="68"/>
        <v>0</v>
      </c>
      <c r="AE113" s="46">
        <v>0</v>
      </c>
    </row>
    <row r="114" spans="1:31" x14ac:dyDescent="0.25">
      <c r="A114" s="61" t="s">
        <v>123</v>
      </c>
      <c r="B114" s="62"/>
      <c r="C114" s="63">
        <v>1</v>
      </c>
      <c r="D114" s="63"/>
      <c r="F114" s="63">
        <f>VLOOKUP(A:A,[1]Sheet1!$A:$D,4,0)</f>
        <v>66</v>
      </c>
      <c r="G114" s="63">
        <f>VLOOKUP(A:A,[1]Sheet1!$A:$C,3,0)</f>
        <v>4</v>
      </c>
      <c r="H114" s="64">
        <f t="shared" si="105"/>
        <v>62</v>
      </c>
      <c r="I114" s="55">
        <f t="shared" si="61"/>
        <v>6.0606060606060608E-2</v>
      </c>
      <c r="K114" s="65">
        <f t="shared" si="106"/>
        <v>7.92</v>
      </c>
      <c r="L114" s="63"/>
      <c r="M114" s="64">
        <f t="shared" si="79"/>
        <v>7.92</v>
      </c>
      <c r="N114" s="46">
        <f t="shared" si="66"/>
        <v>0</v>
      </c>
      <c r="P114" s="56">
        <v>9.45945945945946E-2</v>
      </c>
      <c r="R114" s="57">
        <v>6.0606060606060608E-2</v>
      </c>
      <c r="S114" s="57">
        <v>0</v>
      </c>
      <c r="T114" s="57">
        <v>0</v>
      </c>
      <c r="U114" s="57">
        <v>0</v>
      </c>
      <c r="W114" s="63">
        <f>VLOOKUP(A:A,'[1]2w &amp; 3w'!$A:$D,4,0)</f>
        <v>40</v>
      </c>
      <c r="X114" s="63">
        <f>VLOOKUP(A:A,'[1]2w &amp; 3w'!$A:$C,3,0)</f>
        <v>4</v>
      </c>
      <c r="Y114" s="63">
        <f t="shared" si="67"/>
        <v>36</v>
      </c>
      <c r="Z114" s="46">
        <f t="shared" si="69"/>
        <v>0.1</v>
      </c>
      <c r="AB114" s="63">
        <f>VLOOKUP(A:A,'[1]2w &amp; 3w'!$A:$G,7,0)</f>
        <v>26</v>
      </c>
      <c r="AC114" s="63">
        <f>VLOOKUP(A:A,'[1]2w &amp; 3w'!$A:$F,6,0)</f>
        <v>0</v>
      </c>
      <c r="AD114" s="63">
        <f t="shared" si="68"/>
        <v>26</v>
      </c>
      <c r="AE114" s="46">
        <f t="shared" si="70"/>
        <v>0</v>
      </c>
    </row>
    <row r="115" spans="1:31" x14ac:dyDescent="0.25">
      <c r="A115" s="61" t="s">
        <v>124</v>
      </c>
      <c r="B115" s="62"/>
      <c r="C115" s="63">
        <v>1</v>
      </c>
      <c r="D115" s="62"/>
      <c r="E115" s="80"/>
      <c r="F115" s="63">
        <f>VLOOKUP(A:A,[1]Sheet1!$A:$D,4,0)</f>
        <v>96</v>
      </c>
      <c r="G115" s="63">
        <f>VLOOKUP(A:A,[1]Sheet1!$A:$C,3,0)</f>
        <v>13</v>
      </c>
      <c r="H115" s="64">
        <f t="shared" si="105"/>
        <v>83</v>
      </c>
      <c r="I115" s="55">
        <f t="shared" si="61"/>
        <v>0.13541666666666666</v>
      </c>
      <c r="K115" s="65">
        <f t="shared" si="106"/>
        <v>11.52</v>
      </c>
      <c r="L115" s="63"/>
      <c r="M115" s="64">
        <f t="shared" si="79"/>
        <v>11.52</v>
      </c>
      <c r="N115" s="46">
        <f t="shared" si="66"/>
        <v>0</v>
      </c>
      <c r="P115" s="56">
        <v>0.16822429906542055</v>
      </c>
      <c r="R115" s="57">
        <v>0.10416666666666666</v>
      </c>
      <c r="S115" s="57">
        <v>2.0833333333333336E-2</v>
      </c>
      <c r="T115" s="57">
        <v>0</v>
      </c>
      <c r="U115" s="57">
        <v>1.0416666666666666E-2</v>
      </c>
      <c r="W115" s="63">
        <f>VLOOKUP(A:A,'[1]2w &amp; 3w'!$A:$D,4,0)</f>
        <v>56</v>
      </c>
      <c r="X115" s="63">
        <f>VLOOKUP(A:A,'[1]2w &amp; 3w'!$A:$C,3,0)</f>
        <v>6</v>
      </c>
      <c r="Y115" s="63">
        <f t="shared" si="67"/>
        <v>50</v>
      </c>
      <c r="Z115" s="46">
        <f t="shared" si="69"/>
        <v>0.10714285714285714</v>
      </c>
      <c r="AB115" s="63">
        <f>VLOOKUP(A:A,'[1]2w &amp; 3w'!$A:$G,7,0)</f>
        <v>40</v>
      </c>
      <c r="AC115" s="63">
        <f>VLOOKUP(A:A,'[1]2w &amp; 3w'!$A:$F,6,0)</f>
        <v>7</v>
      </c>
      <c r="AD115" s="63">
        <f t="shared" si="68"/>
        <v>33</v>
      </c>
      <c r="AE115" s="46">
        <f t="shared" si="70"/>
        <v>0.17499999999999999</v>
      </c>
    </row>
    <row r="116" spans="1:31" x14ac:dyDescent="0.25">
      <c r="A116" s="61" t="s">
        <v>179</v>
      </c>
      <c r="B116" s="62"/>
      <c r="C116" s="63">
        <v>1</v>
      </c>
      <c r="D116" s="62"/>
      <c r="E116" s="62"/>
      <c r="F116" s="63">
        <f>VLOOKUP(A:A,[1]Sheet1!$A:$D,4,0)</f>
        <v>116</v>
      </c>
      <c r="G116" s="63">
        <f>VLOOKUP(A:A,[1]Sheet1!$A:$C,3,0)</f>
        <v>11</v>
      </c>
      <c r="H116" s="64">
        <f>F116-G116</f>
        <v>105</v>
      </c>
      <c r="I116" s="55">
        <f>G116/F116</f>
        <v>9.4827586206896547E-2</v>
      </c>
      <c r="K116" s="65">
        <f t="shared" si="106"/>
        <v>13.92</v>
      </c>
      <c r="L116" s="63"/>
      <c r="M116" s="64">
        <f>K116-L116</f>
        <v>13.92</v>
      </c>
      <c r="N116" s="46">
        <f t="shared" si="66"/>
        <v>0</v>
      </c>
      <c r="P116" s="56">
        <v>0.17391304347826086</v>
      </c>
      <c r="R116" s="57">
        <v>6.0344827586206892E-2</v>
      </c>
      <c r="S116" s="57">
        <v>2.5862068965517241E-2</v>
      </c>
      <c r="T116" s="57">
        <v>8.6206896551724137E-3</v>
      </c>
      <c r="U116" s="57">
        <v>0</v>
      </c>
      <c r="W116" s="63">
        <f>VLOOKUP(A:A,'[1]2w &amp; 3w'!$A:$D,4,0)</f>
        <v>36</v>
      </c>
      <c r="X116" s="63">
        <f>VLOOKUP(A:A,'[1]2w &amp; 3w'!$A:$C,3,0)</f>
        <v>0</v>
      </c>
      <c r="Y116" s="63">
        <f t="shared" si="67"/>
        <v>36</v>
      </c>
      <c r="Z116" s="46">
        <f t="shared" si="69"/>
        <v>0</v>
      </c>
      <c r="AB116" s="63">
        <f>VLOOKUP(A:A,'[1]2w &amp; 3w'!$A:$G,7,0)</f>
        <v>80</v>
      </c>
      <c r="AC116" s="63">
        <f>VLOOKUP(A:A,'[1]2w &amp; 3w'!$A:$F,6,0)</f>
        <v>11</v>
      </c>
      <c r="AD116" s="63">
        <f t="shared" si="68"/>
        <v>69</v>
      </c>
      <c r="AE116" s="46">
        <f t="shared" si="70"/>
        <v>0.13750000000000001</v>
      </c>
    </row>
    <row r="117" spans="1:31" x14ac:dyDescent="0.25">
      <c r="A117" s="61" t="s">
        <v>125</v>
      </c>
      <c r="B117" s="62"/>
      <c r="C117" s="63"/>
      <c r="D117" s="62" t="s">
        <v>50</v>
      </c>
      <c r="E117" s="62"/>
      <c r="F117" s="63">
        <f>VLOOKUP(A:A,[1]Sheet1!$A:$D,4,0)</f>
        <v>55</v>
      </c>
      <c r="G117" s="63">
        <f>VLOOKUP(A:A,[1]Sheet1!$A:$C,3,0)</f>
        <v>5</v>
      </c>
      <c r="H117" s="64">
        <f>F117-G117</f>
        <v>50</v>
      </c>
      <c r="I117" s="55">
        <f>G117/F117</f>
        <v>9.0909090909090912E-2</v>
      </c>
      <c r="K117" s="65">
        <f t="shared" si="106"/>
        <v>6.6</v>
      </c>
      <c r="L117" s="63"/>
      <c r="M117" s="64">
        <f>K117-L117</f>
        <v>6.6</v>
      </c>
      <c r="N117" s="46">
        <f t="shared" si="66"/>
        <v>0</v>
      </c>
      <c r="P117" s="56">
        <v>0.11702127659574468</v>
      </c>
      <c r="R117" s="57">
        <v>3.6363636363636369E-2</v>
      </c>
      <c r="S117" s="57">
        <v>3.6363636363636362E-2</v>
      </c>
      <c r="T117" s="57">
        <v>1.8181818181818181E-2</v>
      </c>
      <c r="U117" s="57">
        <v>0</v>
      </c>
      <c r="W117" s="63">
        <f>VLOOKUP(A:A,'[1]2w &amp; 3w'!$A:$D,4,0)</f>
        <v>52</v>
      </c>
      <c r="X117" s="63">
        <f>VLOOKUP(A:A,'[1]2w &amp; 3w'!$A:$C,3,0)</f>
        <v>5</v>
      </c>
      <c r="Y117" s="63">
        <f t="shared" si="67"/>
        <v>47</v>
      </c>
      <c r="Z117" s="46">
        <f t="shared" si="69"/>
        <v>9.6153846153846159E-2</v>
      </c>
      <c r="AB117" s="63">
        <f>VLOOKUP(A:A,'[1]2w &amp; 3w'!$A:$G,7,0)</f>
        <v>3</v>
      </c>
      <c r="AC117" s="63">
        <f>VLOOKUP(A:A,'[1]2w &amp; 3w'!$A:$F,6,0)</f>
        <v>0</v>
      </c>
      <c r="AD117" s="63">
        <f t="shared" si="68"/>
        <v>3</v>
      </c>
      <c r="AE117" s="46">
        <f t="shared" si="70"/>
        <v>0</v>
      </c>
    </row>
    <row r="118" spans="1:31" x14ac:dyDescent="0.25">
      <c r="A118" s="61" t="s">
        <v>126</v>
      </c>
      <c r="B118" s="62"/>
      <c r="C118" s="63">
        <v>1</v>
      </c>
      <c r="D118" s="62"/>
      <c r="E118" s="80"/>
      <c r="F118" s="63">
        <f>VLOOKUP(A:A,[1]Sheet1!$A:$D,4,0)</f>
        <v>77</v>
      </c>
      <c r="G118" s="63">
        <f>VLOOKUP(A:A,[1]Sheet1!$A:$C,3,0)</f>
        <v>11</v>
      </c>
      <c r="H118" s="64">
        <f t="shared" si="105"/>
        <v>66</v>
      </c>
      <c r="I118" s="55">
        <f t="shared" si="61"/>
        <v>0.14285714285714285</v>
      </c>
      <c r="K118" s="65">
        <f t="shared" si="106"/>
        <v>9.24</v>
      </c>
      <c r="L118" s="63"/>
      <c r="M118" s="64">
        <f t="shared" si="79"/>
        <v>9.24</v>
      </c>
      <c r="N118" s="46">
        <f t="shared" si="66"/>
        <v>0</v>
      </c>
      <c r="P118" s="56">
        <v>0.16883116883116883</v>
      </c>
      <c r="R118" s="57">
        <v>0.10389610389610389</v>
      </c>
      <c r="S118" s="57">
        <v>2.5974025974025972E-2</v>
      </c>
      <c r="T118" s="57">
        <v>0</v>
      </c>
      <c r="U118" s="57">
        <v>1.2987012987012988E-2</v>
      </c>
      <c r="W118" s="63">
        <f>VLOOKUP(A:A,'[1]2w &amp; 3w'!$A:$D,4,0)</f>
        <v>76</v>
      </c>
      <c r="X118" s="63">
        <f>VLOOKUP(A:A,'[1]2w &amp; 3w'!$A:$C,3,0)</f>
        <v>11</v>
      </c>
      <c r="Y118" s="63">
        <f t="shared" si="67"/>
        <v>65</v>
      </c>
      <c r="Z118" s="46">
        <f t="shared" si="69"/>
        <v>0.14473684210526316</v>
      </c>
      <c r="AB118" s="63">
        <f>VLOOKUP(A:A,'[1]2w &amp; 3w'!$A:$G,7,0)</f>
        <v>1</v>
      </c>
      <c r="AC118" s="63">
        <f>VLOOKUP(A:A,'[1]2w &amp; 3w'!$A:$F,6,0)</f>
        <v>0</v>
      </c>
      <c r="AD118" s="63">
        <f t="shared" si="68"/>
        <v>1</v>
      </c>
      <c r="AE118" s="46">
        <f t="shared" si="70"/>
        <v>0</v>
      </c>
    </row>
    <row r="119" spans="1:31" x14ac:dyDescent="0.25">
      <c r="A119" s="53" t="s">
        <v>127</v>
      </c>
      <c r="B119" s="53"/>
      <c r="C119" s="54">
        <f>C120+C124+C132+C139</f>
        <v>28</v>
      </c>
      <c r="D119" s="53"/>
      <c r="E119" s="53"/>
      <c r="F119" s="54">
        <f>F120+F124+F132+F139</f>
        <v>3279</v>
      </c>
      <c r="G119" s="54">
        <f>G120+G124+G132+G139</f>
        <v>322</v>
      </c>
      <c r="H119" s="54">
        <f>H120+H124+H132+H139</f>
        <v>2957</v>
      </c>
      <c r="I119" s="55">
        <f t="shared" si="61"/>
        <v>9.8200670936261059E-2</v>
      </c>
      <c r="K119" s="54">
        <f>K120+K124+K132+K139</f>
        <v>393.48</v>
      </c>
      <c r="L119" s="54">
        <f>L120+L124+L132+L139</f>
        <v>0</v>
      </c>
      <c r="M119" s="54">
        <f>M120+M124+M132+M139</f>
        <v>393.48</v>
      </c>
      <c r="N119" s="46">
        <f t="shared" si="66"/>
        <v>0</v>
      </c>
      <c r="P119" s="56">
        <v>0.15136298421807748</v>
      </c>
      <c r="R119" s="57">
        <v>5.3674900884415983E-2</v>
      </c>
      <c r="S119" s="57">
        <v>2.4702653247941447E-2</v>
      </c>
      <c r="T119" s="57">
        <v>1.4638609332113448E-2</v>
      </c>
      <c r="U119" s="57">
        <v>5.1845074717901804E-3</v>
      </c>
      <c r="W119" s="54">
        <f>W120+W124+W132+W139</f>
        <v>1880</v>
      </c>
      <c r="X119" s="54">
        <f>X120+X124+X132+X139</f>
        <v>133</v>
      </c>
      <c r="Y119" s="54">
        <f>Y120+Y124+Y132+Y139</f>
        <v>1747</v>
      </c>
      <c r="Z119" s="46">
        <f t="shared" si="69"/>
        <v>7.0744680851063835E-2</v>
      </c>
      <c r="AB119" s="54">
        <f>AB120+AB124+AB132+AB139</f>
        <v>1399</v>
      </c>
      <c r="AC119" s="54">
        <f>AC120+AC124+AC132+AC139</f>
        <v>189</v>
      </c>
      <c r="AD119" s="54">
        <f>AD120+AD124+AD132+AD139</f>
        <v>1210</v>
      </c>
      <c r="AE119" s="46">
        <f t="shared" si="70"/>
        <v>0.13509649749821301</v>
      </c>
    </row>
    <row r="120" spans="1:31" x14ac:dyDescent="0.25">
      <c r="A120" s="58" t="s">
        <v>128</v>
      </c>
      <c r="B120" s="59"/>
      <c r="C120" s="60">
        <f>SUM(C121:C123)</f>
        <v>4</v>
      </c>
      <c r="D120" s="59"/>
      <c r="E120" s="59"/>
      <c r="F120" s="60">
        <f>SUM(F121:F123)</f>
        <v>399</v>
      </c>
      <c r="G120" s="60">
        <f>SUM(G121:G123)</f>
        <v>36</v>
      </c>
      <c r="H120" s="60">
        <f>SUM(H121:H123)</f>
        <v>363</v>
      </c>
      <c r="I120" s="55">
        <f t="shared" si="61"/>
        <v>9.0225563909774431E-2</v>
      </c>
      <c r="K120" s="60">
        <f>SUM(K121:K123)</f>
        <v>47.879999999999995</v>
      </c>
      <c r="L120" s="60">
        <f>SUM(L121:L123)</f>
        <v>0</v>
      </c>
      <c r="M120" s="60">
        <f>SUM(M121:M123)</f>
        <v>47.879999999999995</v>
      </c>
      <c r="N120" s="46">
        <f t="shared" si="66"/>
        <v>0</v>
      </c>
      <c r="P120" s="56">
        <v>0.11864406779661017</v>
      </c>
      <c r="R120" s="57">
        <v>4.7619047619047616E-2</v>
      </c>
      <c r="S120" s="57">
        <v>2.0050125313283207E-2</v>
      </c>
      <c r="T120" s="57">
        <v>1.2531328320802004E-2</v>
      </c>
      <c r="U120" s="57">
        <v>1.0025062656641603E-2</v>
      </c>
      <c r="W120" s="60">
        <f>SUM(W121:W123)</f>
        <v>266</v>
      </c>
      <c r="X120" s="60">
        <f>SUM(X121:X123)</f>
        <v>17</v>
      </c>
      <c r="Y120" s="60">
        <f>SUM(Y121:Y123)</f>
        <v>249</v>
      </c>
      <c r="Z120" s="46">
        <f t="shared" si="69"/>
        <v>6.3909774436090222E-2</v>
      </c>
      <c r="AB120" s="60">
        <f>SUM(AB121:AB123)</f>
        <v>133</v>
      </c>
      <c r="AC120" s="60">
        <f>SUM(AC121:AC123)</f>
        <v>19</v>
      </c>
      <c r="AD120" s="60">
        <f>SUM(AD121:AD123)</f>
        <v>114</v>
      </c>
      <c r="AE120" s="46">
        <f t="shared" si="70"/>
        <v>0.14285714285714285</v>
      </c>
    </row>
    <row r="121" spans="1:31" x14ac:dyDescent="0.25">
      <c r="A121" s="61" t="s">
        <v>129</v>
      </c>
      <c r="B121" s="62"/>
      <c r="C121" s="63">
        <v>1</v>
      </c>
      <c r="D121" s="62"/>
      <c r="E121" s="62"/>
      <c r="F121" s="63">
        <f>VLOOKUP(A:A,[1]Sheet1!$A:$D,4,0)</f>
        <v>131</v>
      </c>
      <c r="G121" s="63">
        <f>VLOOKUP(A:A,[1]Sheet1!$A:$C,3,0)</f>
        <v>10</v>
      </c>
      <c r="H121" s="64">
        <f t="shared" ref="H121:H123" si="107">F121-G121</f>
        <v>121</v>
      </c>
      <c r="I121" s="55">
        <f t="shared" si="61"/>
        <v>7.6335877862595422E-2</v>
      </c>
      <c r="K121" s="65">
        <f t="shared" ref="K121:K123" si="108">F121*12/100</f>
        <v>15.72</v>
      </c>
      <c r="L121" s="63"/>
      <c r="M121" s="64">
        <f t="shared" si="79"/>
        <v>15.72</v>
      </c>
      <c r="N121" s="46">
        <f t="shared" si="66"/>
        <v>0</v>
      </c>
      <c r="P121" s="56">
        <v>0.10119047619047619</v>
      </c>
      <c r="R121" s="57">
        <v>2.2900763358778629E-2</v>
      </c>
      <c r="S121" s="57">
        <v>2.2900763358778626E-2</v>
      </c>
      <c r="T121" s="57">
        <v>1.5267175572519083E-2</v>
      </c>
      <c r="U121" s="57">
        <v>1.5267175572519083E-2</v>
      </c>
      <c r="W121" s="63">
        <f>VLOOKUP(A:A,'[1]2w &amp; 3w'!$A:$D,4,0)</f>
        <v>129</v>
      </c>
      <c r="X121" s="63">
        <f>VLOOKUP(A:A,'[1]2w &amp; 3w'!$A:$C,3,0)</f>
        <v>10</v>
      </c>
      <c r="Y121" s="63">
        <f t="shared" si="67"/>
        <v>119</v>
      </c>
      <c r="Z121" s="46">
        <f t="shared" si="69"/>
        <v>7.7519379844961239E-2</v>
      </c>
      <c r="AB121" s="63">
        <f>VLOOKUP(A:A,'[1]2w &amp; 3w'!$A:$G,7,0)</f>
        <v>2</v>
      </c>
      <c r="AC121" s="63">
        <f>VLOOKUP(A:A,'[1]2w &amp; 3w'!$A:$F,6,0)</f>
        <v>0</v>
      </c>
      <c r="AD121" s="63">
        <f t="shared" si="68"/>
        <v>2</v>
      </c>
      <c r="AE121" s="46">
        <f t="shared" si="70"/>
        <v>0</v>
      </c>
    </row>
    <row r="122" spans="1:31" x14ac:dyDescent="0.25">
      <c r="A122" s="61" t="s">
        <v>130</v>
      </c>
      <c r="B122" s="62"/>
      <c r="C122" s="63">
        <v>1</v>
      </c>
      <c r="D122" s="62"/>
      <c r="E122" s="62"/>
      <c r="F122" s="63">
        <f>VLOOKUP(A:A,[1]Sheet1!$A:$D,4,0)</f>
        <v>72</v>
      </c>
      <c r="G122" s="63">
        <f>VLOOKUP(A:A,[1]Sheet1!$A:$C,3,0)</f>
        <v>2</v>
      </c>
      <c r="H122" s="64">
        <f t="shared" si="107"/>
        <v>70</v>
      </c>
      <c r="I122" s="81">
        <f t="shared" si="61"/>
        <v>2.7777777777777776E-2</v>
      </c>
      <c r="K122" s="65">
        <f t="shared" si="108"/>
        <v>8.64</v>
      </c>
      <c r="L122" s="63"/>
      <c r="M122" s="64">
        <f t="shared" si="79"/>
        <v>8.64</v>
      </c>
      <c r="N122" s="46">
        <f t="shared" si="66"/>
        <v>0</v>
      </c>
      <c r="P122" s="56">
        <v>0.16438356164383561</v>
      </c>
      <c r="R122" s="57">
        <v>1.3888888888888888E-2</v>
      </c>
      <c r="S122" s="57">
        <v>1.3888888888888888E-2</v>
      </c>
      <c r="T122" s="57">
        <v>0</v>
      </c>
      <c r="U122" s="57">
        <v>0</v>
      </c>
      <c r="W122" s="63">
        <f>VLOOKUP(A:A,'[1]2w &amp; 3w'!$A:$D,4,0)</f>
        <v>69</v>
      </c>
      <c r="X122" s="63">
        <f>VLOOKUP(A:A,'[1]2w &amp; 3w'!$A:$C,3,0)</f>
        <v>2</v>
      </c>
      <c r="Y122" s="63">
        <f t="shared" si="67"/>
        <v>67</v>
      </c>
      <c r="Z122" s="46">
        <f t="shared" si="69"/>
        <v>2.8985507246376812E-2</v>
      </c>
      <c r="AB122" s="63">
        <f>VLOOKUP(A:A,'[1]2w &amp; 3w'!$A:$G,7,0)</f>
        <v>3</v>
      </c>
      <c r="AC122" s="63">
        <f>VLOOKUP(A:A,'[1]2w &amp; 3w'!$A:$F,6,0)</f>
        <v>0</v>
      </c>
      <c r="AD122" s="63">
        <f t="shared" si="68"/>
        <v>3</v>
      </c>
      <c r="AE122" s="46">
        <f t="shared" si="70"/>
        <v>0</v>
      </c>
    </row>
    <row r="123" spans="1:31" x14ac:dyDescent="0.25">
      <c r="A123" s="61" t="s">
        <v>131</v>
      </c>
      <c r="B123" s="62"/>
      <c r="C123" s="63">
        <v>2</v>
      </c>
      <c r="D123" s="62" t="s">
        <v>132</v>
      </c>
      <c r="E123" s="62" t="s">
        <v>133</v>
      </c>
      <c r="F123" s="63">
        <f>VLOOKUP(A:A,[1]Sheet1!$A:$D,4,0)</f>
        <v>196</v>
      </c>
      <c r="G123" s="63">
        <f>VLOOKUP(A:A,[1]Sheet1!$A:$C,3,0)</f>
        <v>24</v>
      </c>
      <c r="H123" s="64">
        <f t="shared" si="107"/>
        <v>172</v>
      </c>
      <c r="I123" s="55">
        <f t="shared" si="61"/>
        <v>0.12244897959183673</v>
      </c>
      <c r="K123" s="65">
        <f t="shared" si="108"/>
        <v>23.52</v>
      </c>
      <c r="L123" s="63"/>
      <c r="M123" s="64">
        <f t="shared" si="79"/>
        <v>23.52</v>
      </c>
      <c r="N123" s="46">
        <f t="shared" si="66"/>
        <v>0</v>
      </c>
      <c r="P123" s="56">
        <v>0.11688311688311688</v>
      </c>
      <c r="R123" s="57">
        <v>7.6530612244897961E-2</v>
      </c>
      <c r="S123" s="57">
        <v>2.0408163265306124E-2</v>
      </c>
      <c r="T123" s="57">
        <v>1.5306122448979593E-2</v>
      </c>
      <c r="U123" s="57">
        <v>1.020408163265306E-2</v>
      </c>
      <c r="W123" s="63">
        <f>VLOOKUP(A:A,'[1]2w &amp; 3w'!$A:$D,4,0)</f>
        <v>68</v>
      </c>
      <c r="X123" s="63">
        <f>VLOOKUP(A:A,'[1]2w &amp; 3w'!$A:$C,3,0)</f>
        <v>5</v>
      </c>
      <c r="Y123" s="63">
        <f t="shared" si="67"/>
        <v>63</v>
      </c>
      <c r="Z123" s="46">
        <f t="shared" si="69"/>
        <v>7.3529411764705885E-2</v>
      </c>
      <c r="AB123" s="63">
        <f>VLOOKUP(A:A,'[1]2w &amp; 3w'!$A:$G,7,0)</f>
        <v>128</v>
      </c>
      <c r="AC123" s="63">
        <f>VLOOKUP(A:A,'[1]2w &amp; 3w'!$A:$F,6,0)</f>
        <v>19</v>
      </c>
      <c r="AD123" s="63">
        <f t="shared" si="68"/>
        <v>109</v>
      </c>
      <c r="AE123" s="46">
        <f t="shared" si="70"/>
        <v>0.1484375</v>
      </c>
    </row>
    <row r="124" spans="1:31" x14ac:dyDescent="0.25">
      <c r="A124" s="58" t="s">
        <v>134</v>
      </c>
      <c r="B124" s="59"/>
      <c r="C124" s="60">
        <f>SUM(C125:C131)</f>
        <v>9</v>
      </c>
      <c r="D124" s="59"/>
      <c r="E124" s="59"/>
      <c r="F124" s="60">
        <f>SUM(F125:F131)</f>
        <v>967</v>
      </c>
      <c r="G124" s="60">
        <f t="shared" ref="G124:H124" si="109">SUM(G125:G131)</f>
        <v>106</v>
      </c>
      <c r="H124" s="60">
        <f t="shared" si="109"/>
        <v>861</v>
      </c>
      <c r="I124" s="55">
        <f t="shared" si="61"/>
        <v>0.10961737331954498</v>
      </c>
      <c r="K124" s="60">
        <f>SUM(K125:K131)</f>
        <v>116.03999999999999</v>
      </c>
      <c r="L124" s="60">
        <f>SUM(L125:L131)</f>
        <v>0</v>
      </c>
      <c r="M124" s="60">
        <f t="shared" ref="M124" si="110">SUM(M125:M131)</f>
        <v>116.03999999999999</v>
      </c>
      <c r="N124" s="46">
        <f t="shared" si="66"/>
        <v>0</v>
      </c>
      <c r="P124" s="56">
        <v>0.14636283961437335</v>
      </c>
      <c r="R124" s="57">
        <v>5.8945191313340223E-2</v>
      </c>
      <c r="S124" s="57">
        <v>2.5853154084798345E-2</v>
      </c>
      <c r="T124" s="57">
        <v>1.8614270941054806E-2</v>
      </c>
      <c r="U124" s="57">
        <v>6.2047569803516025E-3</v>
      </c>
      <c r="W124" s="60">
        <f>SUM(W125:W131)</f>
        <v>629</v>
      </c>
      <c r="X124" s="60">
        <f t="shared" ref="X124:Y124" si="111">SUM(X125:X131)</f>
        <v>60</v>
      </c>
      <c r="Y124" s="60">
        <f t="shared" si="111"/>
        <v>569</v>
      </c>
      <c r="Z124" s="46">
        <f t="shared" si="69"/>
        <v>9.5389507154213043E-2</v>
      </c>
      <c r="AB124" s="60">
        <f>SUM(AB125:AB131)</f>
        <v>338</v>
      </c>
      <c r="AC124" s="60">
        <f t="shared" ref="AC124:AD124" si="112">SUM(AC125:AC131)</f>
        <v>46</v>
      </c>
      <c r="AD124" s="60">
        <f t="shared" si="112"/>
        <v>292</v>
      </c>
      <c r="AE124" s="46">
        <f t="shared" si="70"/>
        <v>0.13609467455621302</v>
      </c>
    </row>
    <row r="125" spans="1:31" x14ac:dyDescent="0.25">
      <c r="A125" s="61" t="s">
        <v>135</v>
      </c>
      <c r="B125" s="62"/>
      <c r="C125" s="63">
        <v>1</v>
      </c>
      <c r="D125" s="62"/>
      <c r="E125" s="62"/>
      <c r="F125" s="63">
        <f>VLOOKUP(A:A,[1]Sheet1!$A:$D,4,0)</f>
        <v>141</v>
      </c>
      <c r="G125" s="63">
        <f>VLOOKUP(A:A,[1]Sheet1!$A:$C,3,0)</f>
        <v>11</v>
      </c>
      <c r="H125" s="64">
        <f>F125-G125</f>
        <v>130</v>
      </c>
      <c r="I125" s="55">
        <f>G125/F125</f>
        <v>7.8014184397163122E-2</v>
      </c>
      <c r="K125" s="65">
        <f t="shared" ref="K125:K131" si="113">F125*12/100</f>
        <v>16.920000000000002</v>
      </c>
      <c r="L125" s="63"/>
      <c r="M125" s="64">
        <f>K125-L125</f>
        <v>16.920000000000002</v>
      </c>
      <c r="N125" s="46">
        <f>L125/F125</f>
        <v>0</v>
      </c>
      <c r="P125" s="56">
        <v>0.15277777777777779</v>
      </c>
      <c r="R125" s="57">
        <v>4.2553191489361701E-2</v>
      </c>
      <c r="S125" s="57">
        <v>2.1276595744680854E-2</v>
      </c>
      <c r="T125" s="57">
        <v>7.0921985815602835E-3</v>
      </c>
      <c r="U125" s="57">
        <v>7.0921985815602835E-3</v>
      </c>
      <c r="W125" s="63">
        <f>VLOOKUP(A:A,'[1]2w &amp; 3w'!$A:$D,4,0)</f>
        <v>115</v>
      </c>
      <c r="X125" s="63">
        <f>VLOOKUP(A:A,'[1]2w &amp; 3w'!$A:$C,3,0)</f>
        <v>9</v>
      </c>
      <c r="Y125" s="63">
        <f t="shared" si="67"/>
        <v>106</v>
      </c>
      <c r="Z125" s="46">
        <f t="shared" si="69"/>
        <v>7.8260869565217397E-2</v>
      </c>
      <c r="AB125" s="63">
        <f>VLOOKUP(A:A,'[1]2w &amp; 3w'!$A:$G,7,0)</f>
        <v>26</v>
      </c>
      <c r="AC125" s="63">
        <f>VLOOKUP(A:A,'[1]2w &amp; 3w'!$A:$F,6,0)</f>
        <v>2</v>
      </c>
      <c r="AD125" s="63">
        <f t="shared" si="68"/>
        <v>24</v>
      </c>
      <c r="AE125" s="46">
        <f t="shared" si="70"/>
        <v>7.6923076923076927E-2</v>
      </c>
    </row>
    <row r="126" spans="1:31" x14ac:dyDescent="0.25">
      <c r="A126" s="61" t="s">
        <v>136</v>
      </c>
      <c r="B126" s="62"/>
      <c r="C126" s="63">
        <v>2</v>
      </c>
      <c r="D126" s="63"/>
      <c r="E126" s="63"/>
      <c r="F126" s="63">
        <f>VLOOKUP(A:A,[1]Sheet1!$A:$D,4,0)</f>
        <v>189</v>
      </c>
      <c r="G126" s="63">
        <f>VLOOKUP(A:A,[1]Sheet1!$A:$C,3,0)</f>
        <v>19</v>
      </c>
      <c r="H126" s="64">
        <f t="shared" ref="H126:H130" si="114">F126-G126</f>
        <v>170</v>
      </c>
      <c r="I126" s="55">
        <f t="shared" si="61"/>
        <v>0.10052910052910052</v>
      </c>
      <c r="K126" s="65">
        <f t="shared" si="113"/>
        <v>22.68</v>
      </c>
      <c r="L126" s="63"/>
      <c r="M126" s="64">
        <f t="shared" si="79"/>
        <v>22.68</v>
      </c>
      <c r="N126" s="46">
        <f t="shared" si="66"/>
        <v>0</v>
      </c>
      <c r="P126" s="56">
        <v>0.15151515151515152</v>
      </c>
      <c r="R126" s="57">
        <v>5.2910052910052907E-2</v>
      </c>
      <c r="S126" s="57">
        <v>2.6455026455026454E-2</v>
      </c>
      <c r="T126" s="57">
        <v>2.1164021164021163E-2</v>
      </c>
      <c r="U126" s="57">
        <v>0</v>
      </c>
      <c r="W126" s="63">
        <f>VLOOKUP(A:A,'[1]2w &amp; 3w'!$A:$D,4,0)</f>
        <v>155</v>
      </c>
      <c r="X126" s="63">
        <f>VLOOKUP(A:A,'[1]2w &amp; 3w'!$A:$C,3,0)</f>
        <v>14</v>
      </c>
      <c r="Y126" s="63">
        <f t="shared" si="67"/>
        <v>141</v>
      </c>
      <c r="Z126" s="46">
        <f t="shared" si="69"/>
        <v>9.0322580645161285E-2</v>
      </c>
      <c r="AB126" s="63">
        <f>VLOOKUP(A:A,'[1]2w &amp; 3w'!$A:$G,7,0)</f>
        <v>34</v>
      </c>
      <c r="AC126" s="63">
        <f>VLOOKUP(A:A,'[1]2w &amp; 3w'!$A:$F,6,0)</f>
        <v>5</v>
      </c>
      <c r="AD126" s="63">
        <f t="shared" si="68"/>
        <v>29</v>
      </c>
      <c r="AE126" s="46">
        <f t="shared" si="70"/>
        <v>0.14705882352941177</v>
      </c>
    </row>
    <row r="127" spans="1:31" x14ac:dyDescent="0.25">
      <c r="A127" s="61" t="s">
        <v>137</v>
      </c>
      <c r="B127" s="62"/>
      <c r="C127" s="63">
        <v>1</v>
      </c>
      <c r="D127" s="62"/>
      <c r="E127" s="62"/>
      <c r="F127" s="63">
        <f>VLOOKUP(A:A,[1]Sheet1!$A:$D,4,0)</f>
        <v>90</v>
      </c>
      <c r="G127" s="63">
        <f>VLOOKUP(A:A,[1]Sheet1!$A:$C,3,0)</f>
        <v>10</v>
      </c>
      <c r="H127" s="64">
        <f t="shared" si="114"/>
        <v>80</v>
      </c>
      <c r="I127" s="55">
        <f t="shared" si="61"/>
        <v>0.1111111111111111</v>
      </c>
      <c r="K127" s="65">
        <f t="shared" si="113"/>
        <v>10.8</v>
      </c>
      <c r="L127" s="63"/>
      <c r="M127" s="64">
        <f t="shared" si="79"/>
        <v>10.8</v>
      </c>
      <c r="N127" s="46">
        <f t="shared" si="66"/>
        <v>0</v>
      </c>
      <c r="P127" s="56">
        <v>0.16190476190476191</v>
      </c>
      <c r="R127" s="57">
        <v>3.3333333333333326E-2</v>
      </c>
      <c r="S127" s="57">
        <v>1.1111111111111113E-2</v>
      </c>
      <c r="T127" s="57">
        <v>4.4444444444444439E-2</v>
      </c>
      <c r="U127" s="57">
        <v>2.2222222222222223E-2</v>
      </c>
      <c r="W127" s="63">
        <f>VLOOKUP(A:A,'[1]2w &amp; 3w'!$A:$D,4,0)</f>
        <v>74</v>
      </c>
      <c r="X127" s="63">
        <f>VLOOKUP(A:A,'[1]2w &amp; 3w'!$A:$C,3,0)</f>
        <v>7</v>
      </c>
      <c r="Y127" s="63">
        <f t="shared" si="67"/>
        <v>67</v>
      </c>
      <c r="Z127" s="46">
        <f t="shared" si="69"/>
        <v>9.45945945945946E-2</v>
      </c>
      <c r="AB127" s="63">
        <f>VLOOKUP(A:A,'[1]2w &amp; 3w'!$A:$G,7,0)</f>
        <v>16</v>
      </c>
      <c r="AC127" s="63">
        <f>VLOOKUP(A:A,'[1]2w &amp; 3w'!$A:$F,6,0)</f>
        <v>3</v>
      </c>
      <c r="AD127" s="63">
        <f t="shared" si="68"/>
        <v>13</v>
      </c>
      <c r="AE127" s="46">
        <f t="shared" si="70"/>
        <v>0.1875</v>
      </c>
    </row>
    <row r="128" spans="1:31" x14ac:dyDescent="0.25">
      <c r="A128" s="61" t="s">
        <v>138</v>
      </c>
      <c r="B128" s="62" t="s">
        <v>20</v>
      </c>
      <c r="C128" s="63">
        <v>2</v>
      </c>
      <c r="D128" s="62"/>
      <c r="E128" s="62"/>
      <c r="F128" s="63">
        <f>VLOOKUP(A:A,[1]Sheet1!$A:$D,4,0)</f>
        <v>236</v>
      </c>
      <c r="G128" s="63">
        <f>VLOOKUP(A:A,[1]Sheet1!$A:$C,3,0)</f>
        <v>37</v>
      </c>
      <c r="H128" s="64">
        <f t="shared" si="114"/>
        <v>199</v>
      </c>
      <c r="I128" s="55">
        <f t="shared" si="61"/>
        <v>0.15677966101694915</v>
      </c>
      <c r="K128" s="65">
        <f t="shared" si="113"/>
        <v>28.32</v>
      </c>
      <c r="L128" s="63"/>
      <c r="M128" s="64">
        <f t="shared" si="79"/>
        <v>28.32</v>
      </c>
      <c r="N128" s="46">
        <f t="shared" si="66"/>
        <v>0</v>
      </c>
      <c r="P128" s="56">
        <v>0.18518518518518517</v>
      </c>
      <c r="R128" s="57">
        <v>8.4745762711864403E-2</v>
      </c>
      <c r="S128" s="57">
        <v>5.0847457627118647E-2</v>
      </c>
      <c r="T128" s="57">
        <v>1.6949152542372881E-2</v>
      </c>
      <c r="U128" s="57">
        <v>4.2372881355932203E-3</v>
      </c>
      <c r="W128" s="63">
        <f>VLOOKUP(A:A,'[1]2w &amp; 3w'!$A:$D,4,0)</f>
        <v>54</v>
      </c>
      <c r="X128" s="63">
        <f>VLOOKUP(A:A,'[1]2w &amp; 3w'!$A:$C,3,0)</f>
        <v>8</v>
      </c>
      <c r="Y128" s="63">
        <f t="shared" si="67"/>
        <v>46</v>
      </c>
      <c r="Z128" s="46">
        <f t="shared" si="69"/>
        <v>0.14814814814814814</v>
      </c>
      <c r="AB128" s="63">
        <f>VLOOKUP(A:A,'[1]2w &amp; 3w'!$A:$G,7,0)</f>
        <v>182</v>
      </c>
      <c r="AC128" s="63">
        <f>VLOOKUP(A:A,'[1]2w &amp; 3w'!$A:$F,6,0)</f>
        <v>29</v>
      </c>
      <c r="AD128" s="63">
        <f t="shared" si="68"/>
        <v>153</v>
      </c>
      <c r="AE128" s="46">
        <f t="shared" si="70"/>
        <v>0.15934065934065933</v>
      </c>
    </row>
    <row r="129" spans="1:31" x14ac:dyDescent="0.25">
      <c r="A129" s="61" t="s">
        <v>139</v>
      </c>
      <c r="B129" s="62"/>
      <c r="C129" s="63">
        <v>1</v>
      </c>
      <c r="D129" s="62"/>
      <c r="E129" s="62"/>
      <c r="F129" s="63">
        <f>VLOOKUP(A:A,[1]Sheet1!$A:$D,4,0)</f>
        <v>96</v>
      </c>
      <c r="G129" s="63">
        <f>VLOOKUP(A:A,[1]Sheet1!$A:$C,3,0)</f>
        <v>10</v>
      </c>
      <c r="H129" s="64">
        <f t="shared" si="114"/>
        <v>86</v>
      </c>
      <c r="I129" s="55">
        <f>G129/F129</f>
        <v>0.10416666666666667</v>
      </c>
      <c r="K129" s="65">
        <f t="shared" si="113"/>
        <v>11.52</v>
      </c>
      <c r="L129" s="63"/>
      <c r="M129" s="64">
        <f t="shared" si="79"/>
        <v>11.52</v>
      </c>
      <c r="N129" s="46">
        <f t="shared" si="66"/>
        <v>0</v>
      </c>
      <c r="P129" s="56">
        <v>0.16666666666666666</v>
      </c>
      <c r="R129" s="57">
        <v>4.1666666666666671E-2</v>
      </c>
      <c r="S129" s="57">
        <v>3.125E-2</v>
      </c>
      <c r="T129" s="57">
        <v>1.0416666666666668E-2</v>
      </c>
      <c r="U129" s="57">
        <v>2.0833333333333332E-2</v>
      </c>
      <c r="W129" s="63">
        <f>VLOOKUP(A:A,'[1]2w &amp; 3w'!$A:$D,4,0)</f>
        <v>51</v>
      </c>
      <c r="X129" s="63">
        <f>VLOOKUP(A:A,'[1]2w &amp; 3w'!$A:$C,3,0)</f>
        <v>4</v>
      </c>
      <c r="Y129" s="63">
        <f t="shared" si="67"/>
        <v>47</v>
      </c>
      <c r="Z129" s="46">
        <f t="shared" si="69"/>
        <v>7.8431372549019607E-2</v>
      </c>
      <c r="AB129" s="63">
        <f>VLOOKUP(A:A,'[1]2w &amp; 3w'!$A:$G,7,0)</f>
        <v>45</v>
      </c>
      <c r="AC129" s="63">
        <f>VLOOKUP(A:A,'[1]2w &amp; 3w'!$A:$F,6,0)</f>
        <v>6</v>
      </c>
      <c r="AD129" s="63">
        <f t="shared" si="68"/>
        <v>39</v>
      </c>
      <c r="AE129" s="46">
        <f t="shared" si="70"/>
        <v>0.13333333333333333</v>
      </c>
    </row>
    <row r="130" spans="1:31" x14ac:dyDescent="0.25">
      <c r="A130" s="61" t="s">
        <v>140</v>
      </c>
      <c r="B130" s="62"/>
      <c r="C130" s="63">
        <v>1</v>
      </c>
      <c r="D130" s="62"/>
      <c r="E130" s="62"/>
      <c r="F130" s="63">
        <f>VLOOKUP(A:A,[1]Sheet1!$A:$D,4,0)</f>
        <v>100</v>
      </c>
      <c r="G130" s="63">
        <f>VLOOKUP(A:A,[1]Sheet1!$A:$C,3,0)</f>
        <v>9</v>
      </c>
      <c r="H130" s="64">
        <f t="shared" si="114"/>
        <v>91</v>
      </c>
      <c r="I130" s="55">
        <f>G130/F130</f>
        <v>0.09</v>
      </c>
      <c r="K130" s="65">
        <f t="shared" si="113"/>
        <v>12</v>
      </c>
      <c r="L130" s="63"/>
      <c r="M130" s="64">
        <f t="shared" si="79"/>
        <v>12</v>
      </c>
      <c r="N130" s="46">
        <f t="shared" ref="N130:N166" si="115">L130/F130</f>
        <v>0</v>
      </c>
      <c r="P130" s="56">
        <v>0.1134020618556701</v>
      </c>
      <c r="R130" s="57">
        <v>6.9999999999999993E-2</v>
      </c>
      <c r="S130" s="57">
        <v>0</v>
      </c>
      <c r="T130" s="57">
        <v>0.02</v>
      </c>
      <c r="U130" s="57">
        <v>0</v>
      </c>
      <c r="W130" s="63">
        <f>VLOOKUP(A:A,'[1]2w &amp; 3w'!$A:$D,4,0)</f>
        <v>71</v>
      </c>
      <c r="X130" s="63">
        <f>VLOOKUP(A:A,'[1]2w &amp; 3w'!$A:$C,3,0)</f>
        <v>8</v>
      </c>
      <c r="Y130" s="63">
        <f t="shared" ref="Y130:Y165" si="116">W130-X130</f>
        <v>63</v>
      </c>
      <c r="Z130" s="46">
        <f t="shared" si="69"/>
        <v>0.11267605633802817</v>
      </c>
      <c r="AB130" s="63">
        <f>VLOOKUP(A:A,'[1]2w &amp; 3w'!$A:$G,7,0)</f>
        <v>29</v>
      </c>
      <c r="AC130" s="63">
        <f>VLOOKUP(A:A,'[1]2w &amp; 3w'!$A:$F,6,0)</f>
        <v>1</v>
      </c>
      <c r="AD130" s="63">
        <f t="shared" ref="AD130:AD165" si="117">AB130-AC130</f>
        <v>28</v>
      </c>
      <c r="AE130" s="46">
        <f t="shared" si="70"/>
        <v>3.4482758620689655E-2</v>
      </c>
    </row>
    <row r="131" spans="1:31" x14ac:dyDescent="0.25">
      <c r="A131" s="61" t="s">
        <v>141</v>
      </c>
      <c r="B131" s="62"/>
      <c r="C131" s="63">
        <v>1</v>
      </c>
      <c r="D131" s="62"/>
      <c r="E131" s="62"/>
      <c r="F131" s="63">
        <f>VLOOKUP(A:A,[1]Sheet1!$A:$D,4,0)</f>
        <v>115</v>
      </c>
      <c r="G131" s="63">
        <f>VLOOKUP(A:A,[1]Sheet1!$A:$C,3,0)</f>
        <v>10</v>
      </c>
      <c r="H131" s="64">
        <f>F131-G131</f>
        <v>105</v>
      </c>
      <c r="I131" s="55">
        <f>G131/F131</f>
        <v>8.6956521739130432E-2</v>
      </c>
      <c r="K131" s="65">
        <f t="shared" si="113"/>
        <v>13.8</v>
      </c>
      <c r="L131" s="63"/>
      <c r="M131" s="64">
        <f>K131-L131</f>
        <v>13.8</v>
      </c>
      <c r="N131" s="46">
        <f>L131/F131</f>
        <v>0</v>
      </c>
      <c r="P131" s="56">
        <v>0.11666666666666667</v>
      </c>
      <c r="R131" s="57">
        <v>6.08695652173913E-2</v>
      </c>
      <c r="S131" s="57">
        <v>8.6956521739130418E-3</v>
      </c>
      <c r="T131" s="57">
        <v>1.7391304347826087E-2</v>
      </c>
      <c r="U131" s="57">
        <v>0</v>
      </c>
      <c r="W131" s="63">
        <f>VLOOKUP(A:A,'[1]2w &amp; 3w'!$A:$D,4,0)</f>
        <v>109</v>
      </c>
      <c r="X131" s="63">
        <f>VLOOKUP(A:A,'[1]2w &amp; 3w'!$A:$C,3,0)</f>
        <v>10</v>
      </c>
      <c r="Y131" s="63">
        <f t="shared" si="116"/>
        <v>99</v>
      </c>
      <c r="Z131" s="46">
        <f t="shared" ref="Z131:Z166" si="118">X131/W131</f>
        <v>9.1743119266055051E-2</v>
      </c>
      <c r="AB131" s="63">
        <f>VLOOKUP(A:A,'[1]2w &amp; 3w'!$A:$G,7,0)</f>
        <v>6</v>
      </c>
      <c r="AC131" s="63">
        <f>VLOOKUP(A:A,'[1]2w &amp; 3w'!$A:$F,6,0)</f>
        <v>0</v>
      </c>
      <c r="AD131" s="63">
        <f t="shared" si="117"/>
        <v>6</v>
      </c>
      <c r="AE131" s="46">
        <f t="shared" ref="AE131:AE166" si="119">AC131/AB131</f>
        <v>0</v>
      </c>
    </row>
    <row r="132" spans="1:31" x14ac:dyDescent="0.25">
      <c r="A132" s="58" t="s">
        <v>142</v>
      </c>
      <c r="B132" s="59"/>
      <c r="C132" s="60">
        <f>SUM(C133:C138)</f>
        <v>8</v>
      </c>
      <c r="D132" s="59"/>
      <c r="E132" s="59"/>
      <c r="F132" s="60">
        <f>SUM(F133:F138)</f>
        <v>860</v>
      </c>
      <c r="G132" s="60">
        <f>SUM(G133:G138)</f>
        <v>108</v>
      </c>
      <c r="H132" s="60">
        <f>SUM(H133:H138)</f>
        <v>752</v>
      </c>
      <c r="I132" s="55">
        <f t="shared" si="61"/>
        <v>0.12558139534883722</v>
      </c>
      <c r="K132" s="60">
        <f>SUM(K133:K138)</f>
        <v>103.19999999999999</v>
      </c>
      <c r="L132" s="60">
        <f>SUM(L133:L138)</f>
        <v>0</v>
      </c>
      <c r="M132" s="60">
        <f>SUM(M133:M138)</f>
        <v>103.19999999999999</v>
      </c>
      <c r="N132" s="46">
        <f t="shared" si="115"/>
        <v>0</v>
      </c>
      <c r="P132" s="56">
        <v>0.16936170212765958</v>
      </c>
      <c r="R132" s="57">
        <v>6.7441860465116299E-2</v>
      </c>
      <c r="S132" s="57">
        <v>3.604651162790698E-2</v>
      </c>
      <c r="T132" s="57">
        <v>1.8604651162790697E-2</v>
      </c>
      <c r="U132" s="57">
        <v>3.4883720930232558E-3</v>
      </c>
      <c r="W132" s="60">
        <f>SUM(W133:W138)</f>
        <v>348</v>
      </c>
      <c r="X132" s="60">
        <f>SUM(X133:X138)</f>
        <v>28</v>
      </c>
      <c r="Y132" s="60">
        <f>SUM(Y133:Y138)</f>
        <v>320</v>
      </c>
      <c r="Z132" s="46">
        <f t="shared" si="118"/>
        <v>8.0459770114942528E-2</v>
      </c>
      <c r="AB132" s="60">
        <f>SUM(AB133:AB138)</f>
        <v>512</v>
      </c>
      <c r="AC132" s="60">
        <f>SUM(AC133:AC138)</f>
        <v>80</v>
      </c>
      <c r="AD132" s="60">
        <f>SUM(AD133:AD138)</f>
        <v>432</v>
      </c>
      <c r="AE132" s="46">
        <f t="shared" si="119"/>
        <v>0.15625</v>
      </c>
    </row>
    <row r="133" spans="1:31" x14ac:dyDescent="0.25">
      <c r="A133" s="61" t="s">
        <v>143</v>
      </c>
      <c r="B133" s="62" t="s">
        <v>20</v>
      </c>
      <c r="C133" s="63">
        <v>1</v>
      </c>
      <c r="D133" s="62"/>
      <c r="E133" s="62"/>
      <c r="F133" s="63">
        <f>VLOOKUP(A:A,[1]Sheet1!$A:$D,4,0)</f>
        <v>121</v>
      </c>
      <c r="G133" s="63">
        <f>VLOOKUP(A:A,[1]Sheet1!$A:$C,3,0)</f>
        <v>16</v>
      </c>
      <c r="H133" s="64">
        <f t="shared" ref="H133:H137" si="120">F133-G133</f>
        <v>105</v>
      </c>
      <c r="I133" s="55">
        <f t="shared" si="61"/>
        <v>0.13223140495867769</v>
      </c>
      <c r="K133" s="65">
        <f t="shared" ref="K133:K138" si="121">F133*12/100</f>
        <v>14.52</v>
      </c>
      <c r="L133" s="63"/>
      <c r="M133" s="64">
        <f t="shared" si="79"/>
        <v>14.52</v>
      </c>
      <c r="N133" s="46">
        <f t="shared" si="115"/>
        <v>0</v>
      </c>
      <c r="P133" s="56">
        <v>0.15</v>
      </c>
      <c r="R133" s="57">
        <v>6.6115702479338845E-2</v>
      </c>
      <c r="S133" s="57">
        <v>4.1322314049586778E-2</v>
      </c>
      <c r="T133" s="57">
        <v>2.4793388429752067E-2</v>
      </c>
      <c r="U133" s="57">
        <v>0</v>
      </c>
      <c r="W133" s="63">
        <f>VLOOKUP(A:A,'[1]2w &amp; 3w'!$A:$D,4,0)</f>
        <v>13</v>
      </c>
      <c r="X133" s="63">
        <f>VLOOKUP(A:A,'[1]2w &amp; 3w'!$A:$C,3,0)</f>
        <v>0</v>
      </c>
      <c r="Y133" s="63">
        <f t="shared" si="116"/>
        <v>13</v>
      </c>
      <c r="Z133" s="46">
        <f t="shared" si="118"/>
        <v>0</v>
      </c>
      <c r="AB133" s="63">
        <f>VLOOKUP(A:A,'[1]2w &amp; 3w'!$A:$G,7,0)</f>
        <v>108</v>
      </c>
      <c r="AC133" s="63">
        <f>VLOOKUP(A:A,'[1]2w &amp; 3w'!$A:$F,6,0)</f>
        <v>16</v>
      </c>
      <c r="AD133" s="63">
        <f t="shared" si="117"/>
        <v>92</v>
      </c>
      <c r="AE133" s="46">
        <f t="shared" si="119"/>
        <v>0.14814814814814814</v>
      </c>
    </row>
    <row r="134" spans="1:31" x14ac:dyDescent="0.25">
      <c r="A134" s="61" t="s">
        <v>144</v>
      </c>
      <c r="B134" s="62"/>
      <c r="C134" s="63">
        <v>1</v>
      </c>
      <c r="D134" s="62"/>
      <c r="E134" s="62"/>
      <c r="F134" s="63">
        <f>VLOOKUP(A:A,[1]Sheet1!$A:$D,4,0)</f>
        <v>103</v>
      </c>
      <c r="G134" s="63">
        <f>VLOOKUP(A:A,[1]Sheet1!$A:$C,3,0)</f>
        <v>9</v>
      </c>
      <c r="H134" s="64">
        <f t="shared" si="120"/>
        <v>94</v>
      </c>
      <c r="I134" s="55">
        <f t="shared" si="61"/>
        <v>8.7378640776699032E-2</v>
      </c>
      <c r="K134" s="65">
        <f t="shared" si="121"/>
        <v>12.36</v>
      </c>
      <c r="L134" s="63"/>
      <c r="M134" s="64">
        <f t="shared" si="79"/>
        <v>12.36</v>
      </c>
      <c r="N134" s="46">
        <f t="shared" si="115"/>
        <v>0</v>
      </c>
      <c r="P134" s="56">
        <v>0.22222222222222221</v>
      </c>
      <c r="R134" s="57">
        <v>3.8834951456310683E-2</v>
      </c>
      <c r="S134" s="57">
        <v>3.8834951456310676E-2</v>
      </c>
      <c r="T134" s="57">
        <v>9.7087378640776691E-3</v>
      </c>
      <c r="U134" s="57">
        <v>0</v>
      </c>
      <c r="W134" s="63">
        <f>VLOOKUP(A:A,'[1]2w &amp; 3w'!$A:$D,4,0)</f>
        <v>83</v>
      </c>
      <c r="X134" s="63">
        <f>VLOOKUP(A:A,'[1]2w &amp; 3w'!$A:$C,3,0)</f>
        <v>6</v>
      </c>
      <c r="Y134" s="63">
        <f t="shared" si="116"/>
        <v>77</v>
      </c>
      <c r="Z134" s="46">
        <f t="shared" si="118"/>
        <v>7.2289156626506021E-2</v>
      </c>
      <c r="AB134" s="63">
        <f>VLOOKUP(A:A,'[1]2w &amp; 3w'!$A:$G,7,0)</f>
        <v>20</v>
      </c>
      <c r="AC134" s="63">
        <f>VLOOKUP(A:A,'[1]2w &amp; 3w'!$A:$F,6,0)</f>
        <v>3</v>
      </c>
      <c r="AD134" s="63">
        <f t="shared" si="117"/>
        <v>17</v>
      </c>
      <c r="AE134" s="46">
        <f t="shared" si="119"/>
        <v>0.15</v>
      </c>
    </row>
    <row r="135" spans="1:31" x14ac:dyDescent="0.25">
      <c r="A135" s="61" t="s">
        <v>145</v>
      </c>
      <c r="B135" s="62"/>
      <c r="C135" s="63">
        <v>2</v>
      </c>
      <c r="D135" s="62"/>
      <c r="E135" s="62"/>
      <c r="F135" s="63">
        <f>VLOOKUP(A:A,[1]Sheet1!$A:$D,4,0)</f>
        <v>257</v>
      </c>
      <c r="G135" s="63">
        <f>VLOOKUP(A:A,[1]Sheet1!$A:$C,3,0)</f>
        <v>40</v>
      </c>
      <c r="H135" s="64">
        <f t="shared" si="120"/>
        <v>217</v>
      </c>
      <c r="I135" s="55">
        <f t="shared" si="61"/>
        <v>0.1556420233463035</v>
      </c>
      <c r="K135" s="65">
        <f t="shared" si="121"/>
        <v>30.84</v>
      </c>
      <c r="L135" s="63"/>
      <c r="M135" s="64">
        <f t="shared" si="79"/>
        <v>30.84</v>
      </c>
      <c r="N135" s="46">
        <f t="shared" si="115"/>
        <v>0</v>
      </c>
      <c r="P135" s="56">
        <v>0.20557491289198607</v>
      </c>
      <c r="R135" s="57">
        <v>8.171206225680934E-2</v>
      </c>
      <c r="S135" s="57">
        <v>5.4474708171206226E-2</v>
      </c>
      <c r="T135" s="57">
        <v>1.9455252918287938E-2</v>
      </c>
      <c r="U135" s="57">
        <v>0</v>
      </c>
      <c r="W135" s="63">
        <f>VLOOKUP(A:A,'[1]2w &amp; 3w'!$A:$D,4,0)</f>
        <v>36</v>
      </c>
      <c r="X135" s="63">
        <f>VLOOKUP(A:A,'[1]2w &amp; 3w'!$A:$C,3,0)</f>
        <v>2</v>
      </c>
      <c r="Y135" s="63">
        <f t="shared" si="116"/>
        <v>34</v>
      </c>
      <c r="Z135" s="46">
        <f t="shared" si="118"/>
        <v>5.5555555555555552E-2</v>
      </c>
      <c r="AB135" s="63">
        <f>VLOOKUP(A:A,'[1]2w &amp; 3w'!$A:$G,7,0)</f>
        <v>221</v>
      </c>
      <c r="AC135" s="63">
        <f>VLOOKUP(A:A,'[1]2w &amp; 3w'!$A:$F,6,0)</f>
        <v>38</v>
      </c>
      <c r="AD135" s="63">
        <f t="shared" si="117"/>
        <v>183</v>
      </c>
      <c r="AE135" s="46">
        <f t="shared" si="119"/>
        <v>0.17194570135746606</v>
      </c>
    </row>
    <row r="136" spans="1:31" x14ac:dyDescent="0.25">
      <c r="A136" s="61" t="s">
        <v>146</v>
      </c>
      <c r="B136" s="62" t="s">
        <v>20</v>
      </c>
      <c r="C136" s="63">
        <v>1</v>
      </c>
      <c r="D136" s="62"/>
      <c r="E136" s="62"/>
      <c r="F136" s="63">
        <f>VLOOKUP(A:A,[1]Sheet1!$A:$D,4,0)</f>
        <v>92</v>
      </c>
      <c r="G136" s="63">
        <f>VLOOKUP(A:A,[1]Sheet1!$A:$C,3,0)</f>
        <v>7</v>
      </c>
      <c r="H136" s="64">
        <f t="shared" si="120"/>
        <v>85</v>
      </c>
      <c r="I136" s="55">
        <f t="shared" si="61"/>
        <v>7.6086956521739135E-2</v>
      </c>
      <c r="K136" s="65">
        <f t="shared" si="121"/>
        <v>11.04</v>
      </c>
      <c r="L136" s="63"/>
      <c r="M136" s="64">
        <f t="shared" si="79"/>
        <v>11.04</v>
      </c>
      <c r="N136" s="46">
        <f t="shared" si="115"/>
        <v>0</v>
      </c>
      <c r="P136" s="56">
        <v>0.15789473684210525</v>
      </c>
      <c r="R136" s="57">
        <v>5.4347826086956527E-2</v>
      </c>
      <c r="S136" s="57">
        <v>1.0869565217391304E-2</v>
      </c>
      <c r="T136" s="57">
        <v>0</v>
      </c>
      <c r="U136" s="57">
        <v>1.0869565217391304E-2</v>
      </c>
      <c r="W136" s="63">
        <f>VLOOKUP(A:A,'[1]2w &amp; 3w'!$A:$D,4,0)</f>
        <v>37</v>
      </c>
      <c r="X136" s="63">
        <f>VLOOKUP(A:A,'[1]2w &amp; 3w'!$A:$C,3,0)</f>
        <v>4</v>
      </c>
      <c r="Y136" s="63">
        <f t="shared" si="116"/>
        <v>33</v>
      </c>
      <c r="Z136" s="46">
        <f t="shared" si="118"/>
        <v>0.10810810810810811</v>
      </c>
      <c r="AB136" s="63">
        <f>VLOOKUP(A:A,'[1]2w &amp; 3w'!$A:$G,7,0)</f>
        <v>55</v>
      </c>
      <c r="AC136" s="63">
        <f>VLOOKUP(A:A,'[1]2w &amp; 3w'!$A:$F,6,0)</f>
        <v>3</v>
      </c>
      <c r="AD136" s="63">
        <f t="shared" si="117"/>
        <v>52</v>
      </c>
      <c r="AE136" s="46">
        <f t="shared" si="119"/>
        <v>5.4545454545454543E-2</v>
      </c>
    </row>
    <row r="137" spans="1:31" x14ac:dyDescent="0.25">
      <c r="A137" s="61" t="s">
        <v>147</v>
      </c>
      <c r="B137" s="62"/>
      <c r="C137" s="63">
        <v>2</v>
      </c>
      <c r="D137" s="63"/>
      <c r="E137" s="63"/>
      <c r="F137" s="63">
        <f>VLOOKUP(A:A,[1]Sheet1!$A:$D,4,0)</f>
        <v>170</v>
      </c>
      <c r="G137" s="63">
        <f>VLOOKUP(A:A,[1]Sheet1!$A:$C,3,0)</f>
        <v>19</v>
      </c>
      <c r="H137" s="64">
        <f t="shared" si="120"/>
        <v>151</v>
      </c>
      <c r="I137" s="55">
        <f t="shared" si="61"/>
        <v>0.11176470588235295</v>
      </c>
      <c r="K137" s="65">
        <f t="shared" si="121"/>
        <v>20.399999999999999</v>
      </c>
      <c r="L137" s="63"/>
      <c r="M137" s="64">
        <f t="shared" si="79"/>
        <v>20.399999999999999</v>
      </c>
      <c r="N137" s="46">
        <f t="shared" si="115"/>
        <v>0</v>
      </c>
      <c r="P137" s="56">
        <v>0.12138728323699421</v>
      </c>
      <c r="R137" s="57">
        <v>6.4705882352941183E-2</v>
      </c>
      <c r="S137" s="57">
        <v>2.9411764705882353E-2</v>
      </c>
      <c r="T137" s="57">
        <v>1.7647058823529412E-2</v>
      </c>
      <c r="U137" s="57">
        <v>0</v>
      </c>
      <c r="W137" s="63">
        <f>VLOOKUP(A:A,'[1]2w &amp; 3w'!$A:$D,4,0)</f>
        <v>141</v>
      </c>
      <c r="X137" s="63">
        <f>VLOOKUP(A:A,'[1]2w &amp; 3w'!$A:$C,3,0)</f>
        <v>13</v>
      </c>
      <c r="Y137" s="63">
        <f t="shared" si="116"/>
        <v>128</v>
      </c>
      <c r="Z137" s="46">
        <f t="shared" si="118"/>
        <v>9.2198581560283682E-2</v>
      </c>
      <c r="AB137" s="63">
        <f>VLOOKUP(A:A,'[1]2w &amp; 3w'!$A:$G,7,0)</f>
        <v>29</v>
      </c>
      <c r="AC137" s="63">
        <f>VLOOKUP(A:A,'[1]2w &amp; 3w'!$A:$F,6,0)</f>
        <v>6</v>
      </c>
      <c r="AD137" s="63">
        <f t="shared" si="117"/>
        <v>23</v>
      </c>
      <c r="AE137" s="46">
        <f t="shared" si="119"/>
        <v>0.20689655172413793</v>
      </c>
    </row>
    <row r="138" spans="1:31" x14ac:dyDescent="0.25">
      <c r="A138" s="61" t="s">
        <v>148</v>
      </c>
      <c r="B138" s="62"/>
      <c r="C138" s="63">
        <v>1</v>
      </c>
      <c r="D138" s="62"/>
      <c r="E138" s="62"/>
      <c r="F138" s="63">
        <f>VLOOKUP(A:A,[1]Sheet1!$A:$D,4,0)</f>
        <v>117</v>
      </c>
      <c r="G138" s="63">
        <f>VLOOKUP(A:A,[1]Sheet1!$A:$C,3,0)</f>
        <v>17</v>
      </c>
      <c r="H138" s="64">
        <f>F138-G138</f>
        <v>100</v>
      </c>
      <c r="I138" s="55">
        <f t="shared" ref="I138:I146" si="122">G138/F138</f>
        <v>0.14529914529914531</v>
      </c>
      <c r="K138" s="65">
        <f t="shared" si="121"/>
        <v>14.04</v>
      </c>
      <c r="L138" s="63"/>
      <c r="M138" s="64">
        <f t="shared" si="79"/>
        <v>14.04</v>
      </c>
      <c r="N138" s="46">
        <f t="shared" si="115"/>
        <v>0</v>
      </c>
      <c r="P138" s="56">
        <v>0.21296296296296297</v>
      </c>
      <c r="R138" s="57">
        <v>7.6923076923076927E-2</v>
      </c>
      <c r="S138" s="57">
        <v>1.7094017094017103E-2</v>
      </c>
      <c r="T138" s="57">
        <v>3.4188034188034185E-2</v>
      </c>
      <c r="U138" s="57">
        <v>1.7094017094017096E-2</v>
      </c>
      <c r="W138" s="63">
        <f>VLOOKUP(A:A,'[1]2w &amp; 3w'!$A:$D,4,0)</f>
        <v>38</v>
      </c>
      <c r="X138" s="63">
        <f>VLOOKUP(A:A,'[1]2w &amp; 3w'!$A:$C,3,0)</f>
        <v>3</v>
      </c>
      <c r="Y138" s="63">
        <f t="shared" si="116"/>
        <v>35</v>
      </c>
      <c r="Z138" s="46">
        <f t="shared" si="118"/>
        <v>7.8947368421052627E-2</v>
      </c>
      <c r="AB138" s="63">
        <f>VLOOKUP(A:A,'[1]2w &amp; 3w'!$A:$G,7,0)</f>
        <v>79</v>
      </c>
      <c r="AC138" s="63">
        <f>VLOOKUP(A:A,'[1]2w &amp; 3w'!$A:$F,6,0)</f>
        <v>14</v>
      </c>
      <c r="AD138" s="63">
        <f t="shared" si="117"/>
        <v>65</v>
      </c>
      <c r="AE138" s="46">
        <f t="shared" si="119"/>
        <v>0.17721518987341772</v>
      </c>
    </row>
    <row r="139" spans="1:31" x14ac:dyDescent="0.25">
      <c r="A139" s="67" t="s">
        <v>149</v>
      </c>
      <c r="B139" s="59"/>
      <c r="C139" s="51">
        <f>SUM(C140:C145)</f>
        <v>7</v>
      </c>
      <c r="D139" s="59"/>
      <c r="E139" s="59"/>
      <c r="F139" s="51">
        <f t="shared" ref="F139:H139" si="123">SUM(F140:F145)</f>
        <v>1053</v>
      </c>
      <c r="G139" s="51">
        <f t="shared" si="123"/>
        <v>72</v>
      </c>
      <c r="H139" s="51">
        <f t="shared" si="123"/>
        <v>981</v>
      </c>
      <c r="I139" s="55">
        <f t="shared" si="122"/>
        <v>6.8376068376068383E-2</v>
      </c>
      <c r="K139" s="72">
        <f t="shared" ref="K139" si="124">SUM(K140:K145)</f>
        <v>126.36000000000001</v>
      </c>
      <c r="L139" s="72">
        <f t="shared" ref="L139" si="125">SUM(L140:L145)</f>
        <v>0</v>
      </c>
      <c r="M139" s="72">
        <f t="shared" ref="M139" si="126">SUM(M140:M145)</f>
        <v>126.36000000000001</v>
      </c>
      <c r="N139" s="46">
        <f t="shared" si="115"/>
        <v>0</v>
      </c>
      <c r="P139" s="56">
        <v>0.13600000000000001</v>
      </c>
      <c r="R139" s="57">
        <v>3.9886039886039892E-2</v>
      </c>
      <c r="S139" s="57">
        <v>1.6144349477682812E-2</v>
      </c>
      <c r="T139" s="57">
        <v>8.5470085470085461E-3</v>
      </c>
      <c r="U139" s="57">
        <v>3.7986704653371322E-3</v>
      </c>
      <c r="W139" s="72">
        <f t="shared" ref="W139" si="127">SUM(W140:W145)</f>
        <v>637</v>
      </c>
      <c r="X139" s="72">
        <f t="shared" ref="X139" si="128">SUM(X140:X145)</f>
        <v>28</v>
      </c>
      <c r="Y139" s="72">
        <f t="shared" ref="Y139" si="129">SUM(Y140:Y145)</f>
        <v>609</v>
      </c>
      <c r="Z139" s="46">
        <f t="shared" si="118"/>
        <v>4.3956043956043959E-2</v>
      </c>
      <c r="AB139" s="72">
        <f t="shared" ref="AB139" si="130">SUM(AB140:AB145)</f>
        <v>416</v>
      </c>
      <c r="AC139" s="72">
        <f t="shared" ref="AC139" si="131">SUM(AC140:AC145)</f>
        <v>44</v>
      </c>
      <c r="AD139" s="72">
        <f t="shared" ref="AD139" si="132">SUM(AD140:AD145)</f>
        <v>372</v>
      </c>
      <c r="AE139" s="46">
        <f t="shared" si="119"/>
        <v>0.10576923076923077</v>
      </c>
    </row>
    <row r="140" spans="1:31" x14ac:dyDescent="0.25">
      <c r="A140" s="61" t="s">
        <v>150</v>
      </c>
      <c r="B140" s="62" t="s">
        <v>20</v>
      </c>
      <c r="C140" s="63">
        <v>3</v>
      </c>
      <c r="D140" s="62"/>
      <c r="E140" s="62" t="s">
        <v>200</v>
      </c>
      <c r="F140" s="63">
        <f>VLOOKUP(A:A,[1]Sheet1!$A:$D,4,0)</f>
        <v>335</v>
      </c>
      <c r="G140" s="63">
        <f>VLOOKUP(A:A,[1]Sheet1!$A:$C,3,0)</f>
        <v>21</v>
      </c>
      <c r="H140" s="64">
        <f>F140-G140</f>
        <v>314</v>
      </c>
      <c r="I140" s="55">
        <f t="shared" si="122"/>
        <v>6.2686567164179099E-2</v>
      </c>
      <c r="K140" s="65">
        <f t="shared" ref="K140:K145" si="133">F140*12/100</f>
        <v>40.200000000000003</v>
      </c>
      <c r="L140" s="63"/>
      <c r="M140" s="64">
        <f t="shared" ref="M140:M145" si="134">K140-L140</f>
        <v>40.200000000000003</v>
      </c>
      <c r="N140" s="46">
        <f t="shared" si="115"/>
        <v>0</v>
      </c>
      <c r="P140" s="56">
        <v>0.11466666666666667</v>
      </c>
      <c r="R140" s="57">
        <v>3.5820895522388055E-2</v>
      </c>
      <c r="S140" s="57">
        <v>1.4925373134328358E-2</v>
      </c>
      <c r="T140" s="57">
        <v>8.9552238805970154E-3</v>
      </c>
      <c r="U140" s="57">
        <v>2.9850746268656717E-3</v>
      </c>
      <c r="W140" s="63">
        <f>VLOOKUP(A:A,'[1]2w &amp; 3w'!$A:$D,4,0)</f>
        <v>286</v>
      </c>
      <c r="X140" s="63">
        <f>VLOOKUP(A:A,'[1]2w &amp; 3w'!$A:$C,3,0)</f>
        <v>16</v>
      </c>
      <c r="Y140" s="63">
        <f t="shared" si="116"/>
        <v>270</v>
      </c>
      <c r="Z140" s="46">
        <f t="shared" si="118"/>
        <v>5.5944055944055944E-2</v>
      </c>
      <c r="AB140" s="63">
        <f>VLOOKUP(A:A,'[1]2w &amp; 3w'!$A:$G,7,0)</f>
        <v>49</v>
      </c>
      <c r="AC140" s="63">
        <f>VLOOKUP(A:A,'[1]2w &amp; 3w'!$A:$F,6,0)</f>
        <v>5</v>
      </c>
      <c r="AD140" s="63">
        <f t="shared" si="117"/>
        <v>44</v>
      </c>
      <c r="AE140" s="46">
        <f t="shared" si="119"/>
        <v>0.10204081632653061</v>
      </c>
    </row>
    <row r="141" spans="1:31" x14ac:dyDescent="0.25">
      <c r="A141" s="61" t="s">
        <v>152</v>
      </c>
      <c r="B141" s="62"/>
      <c r="C141" s="63">
        <v>1</v>
      </c>
      <c r="D141" s="62" t="s">
        <v>196</v>
      </c>
      <c r="E141" s="62" t="s">
        <v>201</v>
      </c>
      <c r="F141" s="63">
        <f>VLOOKUP(A:A,[1]Sheet1!$A:$D,4,0)</f>
        <v>213</v>
      </c>
      <c r="G141" s="63">
        <f>VLOOKUP(A:A,[1]Sheet1!$A:$C,3,0)</f>
        <v>15</v>
      </c>
      <c r="H141" s="64">
        <f t="shared" ref="H141:H145" si="135">F141-G141</f>
        <v>198</v>
      </c>
      <c r="I141" s="55">
        <f t="shared" si="122"/>
        <v>7.0422535211267609E-2</v>
      </c>
      <c r="K141" s="65">
        <f t="shared" si="133"/>
        <v>25.56</v>
      </c>
      <c r="L141" s="63"/>
      <c r="M141" s="64">
        <f t="shared" si="134"/>
        <v>25.56</v>
      </c>
      <c r="N141" s="46">
        <f>L141/F141</f>
        <v>0</v>
      </c>
      <c r="P141" s="56">
        <v>0.11328125</v>
      </c>
      <c r="R141" s="57">
        <v>2.8169014084507046E-2</v>
      </c>
      <c r="S141" s="57">
        <v>1.8779342723004695E-2</v>
      </c>
      <c r="T141" s="57">
        <v>1.408450704225352E-2</v>
      </c>
      <c r="U141" s="57">
        <v>9.3896713615023476E-3</v>
      </c>
      <c r="W141" s="63">
        <f>VLOOKUP(A:A,'[1]2w &amp; 3w'!$A:$D,4,0)</f>
        <v>127</v>
      </c>
      <c r="X141" s="63">
        <f>VLOOKUP(A:A,'[1]2w &amp; 3w'!$A:$C,3,0)</f>
        <v>5</v>
      </c>
      <c r="Y141" s="63">
        <f>W141-X141</f>
        <v>122</v>
      </c>
      <c r="Z141" s="46">
        <f>X141/W141</f>
        <v>3.937007874015748E-2</v>
      </c>
      <c r="AB141" s="63">
        <f>VLOOKUP(A:A,'[1]2w &amp; 3w'!$A:$G,7,0)</f>
        <v>86</v>
      </c>
      <c r="AC141" s="63">
        <f>VLOOKUP(A:A,'[1]2w &amp; 3w'!$A:$F,6,0)</f>
        <v>10</v>
      </c>
      <c r="AD141" s="63">
        <f>AB141-AC141</f>
        <v>76</v>
      </c>
      <c r="AE141" s="46">
        <f>AC141/AB141</f>
        <v>0.11627906976744186</v>
      </c>
    </row>
    <row r="142" spans="1:31" x14ac:dyDescent="0.25">
      <c r="A142" s="61" t="s">
        <v>153</v>
      </c>
      <c r="B142" s="62"/>
      <c r="C142" s="63">
        <v>1</v>
      </c>
      <c r="D142" s="62" t="s">
        <v>197</v>
      </c>
      <c r="E142" s="62" t="s">
        <v>202</v>
      </c>
      <c r="F142" s="63">
        <f>VLOOKUP(A:A,[1]Sheet1!$A:$D,4,0)</f>
        <v>162</v>
      </c>
      <c r="G142" s="63">
        <f>VLOOKUP(A:A,[1]Sheet1!$A:$C,3,0)</f>
        <v>15</v>
      </c>
      <c r="H142" s="64">
        <f>F142-G142</f>
        <v>147</v>
      </c>
      <c r="I142" s="55">
        <f t="shared" si="122"/>
        <v>9.2592592592592587E-2</v>
      </c>
      <c r="K142" s="65">
        <f t="shared" si="133"/>
        <v>19.440000000000001</v>
      </c>
      <c r="L142" s="63"/>
      <c r="M142" s="64">
        <f t="shared" si="134"/>
        <v>19.440000000000001</v>
      </c>
      <c r="N142" s="46">
        <f>L142/F142</f>
        <v>0</v>
      </c>
      <c r="P142" s="56">
        <v>0.14942528735632185</v>
      </c>
      <c r="R142" s="57">
        <v>6.7901234567901231E-2</v>
      </c>
      <c r="S142" s="57">
        <v>2.4691358024691357E-2</v>
      </c>
      <c r="T142" s="57">
        <v>0</v>
      </c>
      <c r="U142" s="57">
        <v>0</v>
      </c>
      <c r="W142" s="63">
        <f>VLOOKUP(A:A,'[1]2w &amp; 3w'!$A:$D,4,0)</f>
        <v>74</v>
      </c>
      <c r="X142" s="63">
        <f>VLOOKUP(A:A,'[1]2w &amp; 3w'!$A:$C,3,0)</f>
        <v>2</v>
      </c>
      <c r="Y142" s="63">
        <f>W142-X142</f>
        <v>72</v>
      </c>
      <c r="Z142" s="46">
        <f>X142/W142</f>
        <v>2.7027027027027029E-2</v>
      </c>
      <c r="AB142" s="63">
        <f>VLOOKUP(A:A,'[1]2w &amp; 3w'!$A:$G,7,0)</f>
        <v>88</v>
      </c>
      <c r="AC142" s="63">
        <f>VLOOKUP(A:A,'[1]2w &amp; 3w'!$A:$F,6,0)</f>
        <v>13</v>
      </c>
      <c r="AD142" s="63">
        <f>AB142-AC142</f>
        <v>75</v>
      </c>
      <c r="AE142" s="46">
        <f>AC142/AB142</f>
        <v>0.14772727272727273</v>
      </c>
    </row>
    <row r="143" spans="1:31" x14ac:dyDescent="0.25">
      <c r="A143" s="61" t="s">
        <v>180</v>
      </c>
      <c r="B143" s="62"/>
      <c r="C143" s="63">
        <v>1</v>
      </c>
      <c r="D143" s="62"/>
      <c r="E143" s="62" t="s">
        <v>203</v>
      </c>
      <c r="F143" s="63">
        <f>VLOOKUP(A:A,[1]Sheet1!$A:$D,4,0)</f>
        <v>110</v>
      </c>
      <c r="G143" s="63">
        <f>VLOOKUP(A:A,[1]Sheet1!$A:$C,3,0)</f>
        <v>8</v>
      </c>
      <c r="H143" s="64">
        <f t="shared" si="135"/>
        <v>102</v>
      </c>
      <c r="I143" s="55">
        <f t="shared" si="122"/>
        <v>7.2727272727272724E-2</v>
      </c>
      <c r="K143" s="65">
        <f t="shared" si="133"/>
        <v>13.2</v>
      </c>
      <c r="L143" s="63"/>
      <c r="M143" s="64">
        <f t="shared" si="134"/>
        <v>13.2</v>
      </c>
      <c r="N143" s="46">
        <f>L143/F143</f>
        <v>0</v>
      </c>
      <c r="P143" s="56">
        <v>0.16200000000000001</v>
      </c>
      <c r="R143" s="57">
        <v>3.6363636363636362E-2</v>
      </c>
      <c r="S143" s="57">
        <v>1.8181818181818181E-2</v>
      </c>
      <c r="T143" s="57">
        <v>1.8181818181818181E-2</v>
      </c>
      <c r="U143" s="57">
        <v>0</v>
      </c>
      <c r="W143" s="63">
        <f>VLOOKUP(A:A,'[1]2w &amp; 3w'!$A:$D,4,0)</f>
        <v>35</v>
      </c>
      <c r="X143" s="63">
        <f>VLOOKUP(A:A,'[1]2w &amp; 3w'!$A:$C,3,0)</f>
        <v>1</v>
      </c>
      <c r="Y143" s="63">
        <f>W143-X143</f>
        <v>34</v>
      </c>
      <c r="Z143" s="46">
        <f>X143/W143</f>
        <v>2.8571428571428571E-2</v>
      </c>
      <c r="AB143" s="63">
        <f>VLOOKUP(A:A,'[1]2w &amp; 3w'!$A:$G,7,0)</f>
        <v>75</v>
      </c>
      <c r="AC143" s="63">
        <f>VLOOKUP(A:A,'[1]2w &amp; 3w'!$A:$F,6,0)</f>
        <v>7</v>
      </c>
      <c r="AD143" s="63">
        <f>AB143-AC143</f>
        <v>68</v>
      </c>
      <c r="AE143" s="46">
        <f>AC143/AB143</f>
        <v>9.3333333333333338E-2</v>
      </c>
    </row>
    <row r="144" spans="1:31" x14ac:dyDescent="0.25">
      <c r="A144" s="61" t="s">
        <v>154</v>
      </c>
      <c r="B144" s="62"/>
      <c r="C144" s="63">
        <v>0</v>
      </c>
      <c r="D144" s="62" t="s">
        <v>198</v>
      </c>
      <c r="E144" s="62"/>
      <c r="F144" s="63">
        <f>VLOOKUP(A:A,[1]Sheet1!$A:$D,4,0)</f>
        <v>113</v>
      </c>
      <c r="G144" s="63">
        <f>VLOOKUP(A:A,[1]Sheet1!$A:$C,3,0)</f>
        <v>8</v>
      </c>
      <c r="H144" s="64">
        <f t="shared" si="135"/>
        <v>105</v>
      </c>
      <c r="I144" s="55">
        <f t="shared" si="122"/>
        <v>7.0796460176991149E-2</v>
      </c>
      <c r="K144" s="65">
        <f t="shared" si="133"/>
        <v>13.56</v>
      </c>
      <c r="L144" s="63"/>
      <c r="M144" s="64">
        <f t="shared" si="134"/>
        <v>13.56</v>
      </c>
      <c r="N144" s="46">
        <f>L144/F144</f>
        <v>0</v>
      </c>
      <c r="P144" s="56">
        <v>0.15384615384615385</v>
      </c>
      <c r="R144" s="57">
        <v>4.4247787610619468E-2</v>
      </c>
      <c r="S144" s="57">
        <v>8.8495575221238937E-3</v>
      </c>
      <c r="T144" s="57">
        <v>8.8495575221238937E-3</v>
      </c>
      <c r="U144" s="57">
        <v>8.8495575221238937E-3</v>
      </c>
      <c r="W144" s="63">
        <f>VLOOKUP(A:A,'[1]2w &amp; 3w'!$A:$D,4,0)</f>
        <v>70</v>
      </c>
      <c r="X144" s="63">
        <f>VLOOKUP(A:A,'[1]2w &amp; 3w'!$A:$C,3,0)</f>
        <v>3</v>
      </c>
      <c r="Y144" s="63">
        <f>W144-X144</f>
        <v>67</v>
      </c>
      <c r="Z144" s="46">
        <f>X144/W144</f>
        <v>4.2857142857142858E-2</v>
      </c>
      <c r="AB144" s="63">
        <f>VLOOKUP(A:A,'[1]2w &amp; 3w'!$A:$G,7,0)</f>
        <v>43</v>
      </c>
      <c r="AC144" s="63">
        <f>VLOOKUP(A:A,'[1]2w &amp; 3w'!$A:$F,6,0)</f>
        <v>5</v>
      </c>
      <c r="AD144" s="63">
        <f>AB144-AC144</f>
        <v>38</v>
      </c>
      <c r="AE144" s="46">
        <f>AC144/AB144</f>
        <v>0.11627906976744186</v>
      </c>
    </row>
    <row r="145" spans="1:31" x14ac:dyDescent="0.25">
      <c r="A145" s="61" t="s">
        <v>155</v>
      </c>
      <c r="B145" s="62"/>
      <c r="C145" s="63">
        <v>1</v>
      </c>
      <c r="D145" s="62"/>
      <c r="E145" s="62" t="s">
        <v>204</v>
      </c>
      <c r="F145" s="63">
        <f>VLOOKUP(A:A,[1]Sheet1!$A:$D,4,0)</f>
        <v>120</v>
      </c>
      <c r="G145" s="63">
        <f>VLOOKUP(A:A,[1]Sheet1!$A:$C,3,0)</f>
        <v>5</v>
      </c>
      <c r="H145" s="64">
        <f t="shared" si="135"/>
        <v>115</v>
      </c>
      <c r="I145" s="55">
        <f t="shared" si="122"/>
        <v>4.1666666666666664E-2</v>
      </c>
      <c r="K145" s="65">
        <f t="shared" si="133"/>
        <v>14.4</v>
      </c>
      <c r="L145" s="63"/>
      <c r="M145" s="64">
        <f t="shared" si="134"/>
        <v>14.4</v>
      </c>
      <c r="N145" s="46">
        <f>L145/F145</f>
        <v>0</v>
      </c>
      <c r="P145" s="56">
        <v>0.12030075187969924</v>
      </c>
      <c r="R145" s="57">
        <v>3.3333333333333333E-2</v>
      </c>
      <c r="S145" s="57">
        <v>8.3333333333333332E-3</v>
      </c>
      <c r="T145" s="57">
        <v>0</v>
      </c>
      <c r="U145" s="57">
        <v>0</v>
      </c>
      <c r="W145" s="63">
        <f>VLOOKUP(A:A,'[1]2w &amp; 3w'!$A:$D,4,0)</f>
        <v>45</v>
      </c>
      <c r="X145" s="63">
        <f>VLOOKUP(A:A,'[1]2w &amp; 3w'!$A:$C,3,0)</f>
        <v>1</v>
      </c>
      <c r="Y145" s="63">
        <f>W145-X145</f>
        <v>44</v>
      </c>
      <c r="Z145" s="46">
        <f>X145/W145</f>
        <v>2.2222222222222223E-2</v>
      </c>
      <c r="AB145" s="63">
        <f>VLOOKUP(A:A,'[1]2w &amp; 3w'!$A:$G,7,0)</f>
        <v>75</v>
      </c>
      <c r="AC145" s="63">
        <f>VLOOKUP(A:A,'[1]2w &amp; 3w'!$A:$F,6,0)</f>
        <v>4</v>
      </c>
      <c r="AD145" s="63">
        <f>AB145-AC145</f>
        <v>71</v>
      </c>
      <c r="AE145" s="46">
        <f>AC145/AB145</f>
        <v>5.3333333333333337E-2</v>
      </c>
    </row>
    <row r="146" spans="1:31" x14ac:dyDescent="0.25">
      <c r="A146" s="53" t="s">
        <v>151</v>
      </c>
      <c r="B146" s="53"/>
      <c r="C146" s="82">
        <f>C147+C153</f>
        <v>11</v>
      </c>
      <c r="D146" s="53"/>
      <c r="E146" s="53"/>
      <c r="F146" s="82">
        <f t="shared" ref="F146:H146" si="136">F147+F153</f>
        <v>1507</v>
      </c>
      <c r="G146" s="82">
        <f t="shared" si="136"/>
        <v>153</v>
      </c>
      <c r="H146" s="82">
        <f t="shared" si="136"/>
        <v>1354</v>
      </c>
      <c r="I146" s="55">
        <f t="shared" si="122"/>
        <v>0.10152621101526212</v>
      </c>
      <c r="K146" s="82">
        <f t="shared" ref="K146" si="137">K147+K153</f>
        <v>180.83999999999997</v>
      </c>
      <c r="L146" s="82">
        <f t="shared" ref="L146" si="138">L147+L153</f>
        <v>0</v>
      </c>
      <c r="M146" s="82">
        <f t="shared" ref="M146" si="139">M147+M153</f>
        <v>180.83999999999997</v>
      </c>
      <c r="N146" s="46">
        <f t="shared" si="115"/>
        <v>0</v>
      </c>
      <c r="P146" s="56">
        <v>0.11700000000000001</v>
      </c>
      <c r="R146" s="57">
        <v>6.1048440610484415E-2</v>
      </c>
      <c r="S146" s="57">
        <v>2.1234240212342399E-2</v>
      </c>
      <c r="T146" s="57">
        <v>1.59256801592568E-2</v>
      </c>
      <c r="U146" s="57">
        <v>3.3178500331785005E-3</v>
      </c>
      <c r="W146" s="82">
        <f t="shared" ref="W146" si="140">W147+W153</f>
        <v>1124</v>
      </c>
      <c r="X146" s="82">
        <f t="shared" ref="X146" si="141">X147+X153</f>
        <v>95</v>
      </c>
      <c r="Y146" s="82">
        <f t="shared" ref="Y146" si="142">Y147+Y153</f>
        <v>1029</v>
      </c>
      <c r="Z146" s="46">
        <f t="shared" si="118"/>
        <v>8.451957295373666E-2</v>
      </c>
      <c r="AB146" s="82">
        <f t="shared" ref="AB146" si="143">AB147+AB153</f>
        <v>383</v>
      </c>
      <c r="AC146" s="82">
        <f t="shared" ref="AC146" si="144">AC147+AC153</f>
        <v>58</v>
      </c>
      <c r="AD146" s="82">
        <f t="shared" ref="AD146" si="145">AD147+AD153</f>
        <v>325</v>
      </c>
      <c r="AE146" s="46">
        <f t="shared" si="119"/>
        <v>0.1514360313315927</v>
      </c>
    </row>
    <row r="147" spans="1:31" x14ac:dyDescent="0.25">
      <c r="A147" s="58" t="s">
        <v>156</v>
      </c>
      <c r="B147" s="59"/>
      <c r="C147" s="60">
        <f>SUM(C148:C152)</f>
        <v>5</v>
      </c>
      <c r="D147" s="59"/>
      <c r="E147" s="59"/>
      <c r="F147" s="60">
        <f>SUM(F148:F152)</f>
        <v>812</v>
      </c>
      <c r="G147" s="60">
        <f>SUM(G148:G152)</f>
        <v>84</v>
      </c>
      <c r="H147" s="60">
        <f>SUM(H148:H152)</f>
        <v>728</v>
      </c>
      <c r="I147" s="55">
        <f t="shared" ref="I147:I166" si="146">G147/F147</f>
        <v>0.10344827586206896</v>
      </c>
      <c r="J147" s="78"/>
      <c r="K147" s="60">
        <f>SUM(K148:K152)</f>
        <v>97.439999999999984</v>
      </c>
      <c r="L147" s="60">
        <f>SUM(L148:L152)</f>
        <v>0</v>
      </c>
      <c r="M147" s="60">
        <f>SUM(M148:M152)</f>
        <v>97.439999999999984</v>
      </c>
      <c r="N147" s="46">
        <f t="shared" si="115"/>
        <v>0</v>
      </c>
      <c r="P147" s="56">
        <v>0.14530892448512586</v>
      </c>
      <c r="R147" s="57">
        <v>6.8965517241379309E-2</v>
      </c>
      <c r="S147" s="57">
        <v>1.6009852216748766E-2</v>
      </c>
      <c r="T147" s="57">
        <v>1.4778325123152712E-2</v>
      </c>
      <c r="U147" s="57">
        <v>3.6945812807881772E-3</v>
      </c>
      <c r="W147" s="60">
        <f>SUM(W148:W152)</f>
        <v>439</v>
      </c>
      <c r="X147" s="60">
        <f>SUM(X148:X152)</f>
        <v>28</v>
      </c>
      <c r="Y147" s="60">
        <f>SUM(Y148:Y152)</f>
        <v>411</v>
      </c>
      <c r="Z147" s="46">
        <f t="shared" si="118"/>
        <v>6.3781321184510256E-2</v>
      </c>
      <c r="AB147" s="60">
        <f>SUM(AB148:AB152)</f>
        <v>373</v>
      </c>
      <c r="AC147" s="60">
        <f>SUM(AC148:AC152)</f>
        <v>56</v>
      </c>
      <c r="AD147" s="60">
        <f>SUM(AD148:AD152)</f>
        <v>317</v>
      </c>
      <c r="AE147" s="46">
        <f t="shared" si="119"/>
        <v>0.15013404825737264</v>
      </c>
    </row>
    <row r="148" spans="1:31" x14ac:dyDescent="0.25">
      <c r="A148" s="61" t="s">
        <v>157</v>
      </c>
      <c r="B148" s="62"/>
      <c r="C148" s="63">
        <v>1</v>
      </c>
      <c r="D148" s="62"/>
      <c r="E148" s="62"/>
      <c r="F148" s="63">
        <f>VLOOKUP(A:A,[1]Sheet1!$A:$D,4,0)</f>
        <v>110</v>
      </c>
      <c r="G148" s="63">
        <f>VLOOKUP(A:A,[1]Sheet1!$A:$C,3,0)</f>
        <v>12</v>
      </c>
      <c r="H148" s="64">
        <f t="shared" ref="H148:H152" si="147">F148-G148</f>
        <v>98</v>
      </c>
      <c r="I148" s="55">
        <f t="shared" si="146"/>
        <v>0.10909090909090909</v>
      </c>
      <c r="K148" s="65">
        <f t="shared" ref="K148:K152" si="148">F148*12/100</f>
        <v>13.2</v>
      </c>
      <c r="L148" s="63"/>
      <c r="M148" s="64">
        <f t="shared" ref="M148:M165" si="149">K148-L148</f>
        <v>13.2</v>
      </c>
      <c r="N148" s="46">
        <f t="shared" si="115"/>
        <v>0</v>
      </c>
      <c r="P148" s="56">
        <v>0.171875</v>
      </c>
      <c r="R148" s="57">
        <v>7.2727272727272724E-2</v>
      </c>
      <c r="S148" s="57">
        <v>1.8181818181818181E-2</v>
      </c>
      <c r="T148" s="57">
        <v>9.0909090909090905E-3</v>
      </c>
      <c r="U148" s="57">
        <v>9.0909090909090905E-3</v>
      </c>
      <c r="W148" s="63">
        <f>VLOOKUP(A:A,'[1]2w &amp; 3w'!$A:$D,4,0)</f>
        <v>45</v>
      </c>
      <c r="X148" s="63">
        <f>VLOOKUP(A:A,'[1]2w &amp; 3w'!$A:$C,3,0)</f>
        <v>2</v>
      </c>
      <c r="Y148" s="63">
        <f t="shared" si="116"/>
        <v>43</v>
      </c>
      <c r="Z148" s="46">
        <f t="shared" si="118"/>
        <v>4.4444444444444446E-2</v>
      </c>
      <c r="AB148" s="63">
        <f>VLOOKUP(A:A,'[1]2w &amp; 3w'!$A:$G,7,0)</f>
        <v>65</v>
      </c>
      <c r="AC148" s="63">
        <f>VLOOKUP(A:A,'[1]2w &amp; 3w'!$A:$F,6,0)</f>
        <v>10</v>
      </c>
      <c r="AD148" s="63">
        <f t="shared" si="117"/>
        <v>55</v>
      </c>
      <c r="AE148" s="46">
        <f t="shared" si="119"/>
        <v>0.15384615384615385</v>
      </c>
    </row>
    <row r="149" spans="1:31" x14ac:dyDescent="0.25">
      <c r="A149" s="61" t="s">
        <v>158</v>
      </c>
      <c r="B149" s="62"/>
      <c r="C149" s="63">
        <v>2</v>
      </c>
      <c r="D149" s="62"/>
      <c r="E149" s="62"/>
      <c r="F149" s="63">
        <f>VLOOKUP(A:A,[1]Sheet1!$A:$D,4,0)</f>
        <v>158</v>
      </c>
      <c r="G149" s="63">
        <f>VLOOKUP(A:A,[1]Sheet1!$A:$C,3,0)</f>
        <v>16</v>
      </c>
      <c r="H149" s="64">
        <f t="shared" si="147"/>
        <v>142</v>
      </c>
      <c r="I149" s="55">
        <f t="shared" si="146"/>
        <v>0.10126582278481013</v>
      </c>
      <c r="K149" s="65">
        <f t="shared" si="148"/>
        <v>18.96</v>
      </c>
      <c r="L149" s="63"/>
      <c r="M149" s="64">
        <f t="shared" si="149"/>
        <v>18.96</v>
      </c>
      <c r="N149" s="46">
        <f t="shared" si="115"/>
        <v>0</v>
      </c>
      <c r="P149" s="56">
        <v>0.15032679738562091</v>
      </c>
      <c r="R149" s="57">
        <v>7.5949367088607597E-2</v>
      </c>
      <c r="S149" s="57">
        <v>1.2658227848101266E-2</v>
      </c>
      <c r="T149" s="57">
        <v>1.2658227848101266E-2</v>
      </c>
      <c r="U149" s="57">
        <v>0</v>
      </c>
      <c r="W149" s="63">
        <f>VLOOKUP(A:A,'[1]2w &amp; 3w'!$A:$D,4,0)</f>
        <v>82</v>
      </c>
      <c r="X149" s="63">
        <f>VLOOKUP(A:A,'[1]2w &amp; 3w'!$A:$C,3,0)</f>
        <v>6</v>
      </c>
      <c r="Y149" s="63">
        <f t="shared" si="116"/>
        <v>76</v>
      </c>
      <c r="Z149" s="46">
        <f t="shared" si="118"/>
        <v>7.3170731707317069E-2</v>
      </c>
      <c r="AB149" s="63">
        <f>VLOOKUP(A:A,'[1]2w &amp; 3w'!$A:$G,7,0)</f>
        <v>76</v>
      </c>
      <c r="AC149" s="63">
        <f>VLOOKUP(A:A,'[1]2w &amp; 3w'!$A:$F,6,0)</f>
        <v>10</v>
      </c>
      <c r="AD149" s="63">
        <f t="shared" si="117"/>
        <v>66</v>
      </c>
      <c r="AE149" s="46">
        <f t="shared" si="119"/>
        <v>0.13157894736842105</v>
      </c>
    </row>
    <row r="150" spans="1:31" x14ac:dyDescent="0.25">
      <c r="A150" s="61" t="s">
        <v>159</v>
      </c>
      <c r="B150" s="62"/>
      <c r="C150" s="63">
        <v>0</v>
      </c>
      <c r="D150" s="62" t="s">
        <v>160</v>
      </c>
      <c r="E150" s="62"/>
      <c r="F150" s="63">
        <f>VLOOKUP(A:A,[1]Sheet1!$A:$D,4,0)</f>
        <v>227</v>
      </c>
      <c r="G150" s="63">
        <f>VLOOKUP(A:A,[1]Sheet1!$A:$C,3,0)</f>
        <v>31</v>
      </c>
      <c r="H150" s="64">
        <f t="shared" si="147"/>
        <v>196</v>
      </c>
      <c r="I150" s="55">
        <f t="shared" si="146"/>
        <v>0.13656387665198239</v>
      </c>
      <c r="K150" s="65">
        <f t="shared" si="148"/>
        <v>27.24</v>
      </c>
      <c r="L150" s="63"/>
      <c r="M150" s="64">
        <f t="shared" si="149"/>
        <v>27.24</v>
      </c>
      <c r="N150" s="46">
        <f t="shared" si="115"/>
        <v>0</v>
      </c>
      <c r="P150" s="56">
        <v>0.15730337078651685</v>
      </c>
      <c r="R150" s="57">
        <v>9.2511013215859028E-2</v>
      </c>
      <c r="S150" s="57">
        <v>2.2026431718061675E-2</v>
      </c>
      <c r="T150" s="57">
        <v>2.2026431718061675E-2</v>
      </c>
      <c r="U150" s="57">
        <v>0</v>
      </c>
      <c r="W150" s="63">
        <f>VLOOKUP(A:A,'[1]2w &amp; 3w'!$A:$D,4,0)</f>
        <v>49</v>
      </c>
      <c r="X150" s="63">
        <f>VLOOKUP(A:A,'[1]2w &amp; 3w'!$A:$C,3,0)</f>
        <v>1</v>
      </c>
      <c r="Y150" s="63">
        <f t="shared" si="116"/>
        <v>48</v>
      </c>
      <c r="Z150" s="46">
        <f t="shared" si="118"/>
        <v>2.0408163265306121E-2</v>
      </c>
      <c r="AB150" s="63">
        <f>VLOOKUP(A:A,'[1]2w &amp; 3w'!$A:$G,7,0)</f>
        <v>178</v>
      </c>
      <c r="AC150" s="63">
        <f>VLOOKUP(A:A,'[1]2w &amp; 3w'!$A:$F,6,0)</f>
        <v>30</v>
      </c>
      <c r="AD150" s="63">
        <f t="shared" si="117"/>
        <v>148</v>
      </c>
      <c r="AE150" s="46">
        <f t="shared" si="119"/>
        <v>0.16853932584269662</v>
      </c>
    </row>
    <row r="151" spans="1:31" x14ac:dyDescent="0.25">
      <c r="A151" s="61" t="s">
        <v>161</v>
      </c>
      <c r="B151" s="62"/>
      <c r="C151" s="63"/>
      <c r="D151" s="62"/>
      <c r="E151" s="62"/>
      <c r="F151" s="63">
        <f>VLOOKUP(A:A,[1]Sheet1!$A:$D,4,0)</f>
        <v>108</v>
      </c>
      <c r="G151" s="63">
        <f>VLOOKUP(A:A,[1]Sheet1!$A:$C,3,0)</f>
        <v>7</v>
      </c>
      <c r="H151" s="64">
        <f t="shared" si="147"/>
        <v>101</v>
      </c>
      <c r="I151" s="55">
        <f t="shared" si="146"/>
        <v>6.4814814814814811E-2</v>
      </c>
      <c r="K151" s="65">
        <f t="shared" si="148"/>
        <v>12.96</v>
      </c>
      <c r="L151" s="63"/>
      <c r="M151" s="64">
        <f t="shared" si="149"/>
        <v>12.96</v>
      </c>
      <c r="N151" s="46">
        <f t="shared" si="115"/>
        <v>0</v>
      </c>
      <c r="P151" s="56">
        <v>0.14516129032258066</v>
      </c>
      <c r="R151" s="57">
        <v>5.5555555555555552E-2</v>
      </c>
      <c r="S151" s="57">
        <v>9.2592592592592587E-3</v>
      </c>
      <c r="T151" s="57">
        <v>0</v>
      </c>
      <c r="U151" s="57">
        <v>0</v>
      </c>
      <c r="W151" s="63">
        <f>VLOOKUP(A:A,'[1]2w &amp; 3w'!$A:$D,4,0)</f>
        <v>80</v>
      </c>
      <c r="X151" s="63">
        <f>VLOOKUP(A:A,'[1]2w &amp; 3w'!$A:$C,3,0)</f>
        <v>4</v>
      </c>
      <c r="Y151" s="63">
        <f t="shared" si="116"/>
        <v>76</v>
      </c>
      <c r="Z151" s="46">
        <f t="shared" si="118"/>
        <v>0.05</v>
      </c>
      <c r="AB151" s="63">
        <f>VLOOKUP(A:A,'[1]2w &amp; 3w'!$A:$G,7,0)</f>
        <v>28</v>
      </c>
      <c r="AC151" s="63">
        <f>VLOOKUP(A:A,'[1]2w &amp; 3w'!$A:$F,6,0)</f>
        <v>3</v>
      </c>
      <c r="AD151" s="63">
        <f t="shared" si="117"/>
        <v>25</v>
      </c>
      <c r="AE151" s="46">
        <f t="shared" si="119"/>
        <v>0.10714285714285714</v>
      </c>
    </row>
    <row r="152" spans="1:31" x14ac:dyDescent="0.25">
      <c r="A152" s="61" t="s">
        <v>162</v>
      </c>
      <c r="B152" s="62"/>
      <c r="C152" s="63">
        <v>2</v>
      </c>
      <c r="D152" s="62"/>
      <c r="E152" s="62"/>
      <c r="F152" s="63">
        <f>VLOOKUP(A:A,[1]Sheet1!$A:$D,4,0)</f>
        <v>209</v>
      </c>
      <c r="G152" s="63">
        <f>VLOOKUP(A:A,[1]Sheet1!$A:$C,3,0)</f>
        <v>18</v>
      </c>
      <c r="H152" s="64">
        <f t="shared" si="147"/>
        <v>191</v>
      </c>
      <c r="I152" s="55">
        <f t="shared" si="146"/>
        <v>8.6124401913875603E-2</v>
      </c>
      <c r="K152" s="65">
        <f t="shared" si="148"/>
        <v>25.08</v>
      </c>
      <c r="L152" s="63"/>
      <c r="M152" s="64">
        <f t="shared" si="149"/>
        <v>25.08</v>
      </c>
      <c r="N152" s="46">
        <f t="shared" si="115"/>
        <v>0</v>
      </c>
      <c r="P152" s="56">
        <v>0.10891089108910891</v>
      </c>
      <c r="R152" s="57">
        <v>4.3062200956937802E-2</v>
      </c>
      <c r="S152" s="57">
        <v>1.4354066985645935E-2</v>
      </c>
      <c r="T152" s="57">
        <v>1.9138755980861247E-2</v>
      </c>
      <c r="U152" s="57">
        <v>9.5693779904306216E-3</v>
      </c>
      <c r="W152" s="63">
        <f>VLOOKUP(A:A,'[1]2w &amp; 3w'!$A:$D,4,0)</f>
        <v>183</v>
      </c>
      <c r="X152" s="63">
        <f>VLOOKUP(A:A,'[1]2w &amp; 3w'!$A:$C,3,0)</f>
        <v>15</v>
      </c>
      <c r="Y152" s="63">
        <f t="shared" si="116"/>
        <v>168</v>
      </c>
      <c r="Z152" s="46">
        <f t="shared" si="118"/>
        <v>8.1967213114754092E-2</v>
      </c>
      <c r="AB152" s="63">
        <f>VLOOKUP(A:A,'[1]2w &amp; 3w'!$A:$G,7,0)</f>
        <v>26</v>
      </c>
      <c r="AC152" s="63">
        <f>VLOOKUP(A:A,'[1]2w &amp; 3w'!$A:$F,6,0)</f>
        <v>3</v>
      </c>
      <c r="AD152" s="63">
        <f t="shared" si="117"/>
        <v>23</v>
      </c>
      <c r="AE152" s="46">
        <f t="shared" si="119"/>
        <v>0.11538461538461539</v>
      </c>
    </row>
    <row r="153" spans="1:31" x14ac:dyDescent="0.25">
      <c r="A153" s="39" t="s">
        <v>163</v>
      </c>
      <c r="B153" s="59"/>
      <c r="C153" s="60">
        <f>SUM(C154:C160)</f>
        <v>6</v>
      </c>
      <c r="D153" s="59"/>
      <c r="E153" s="59"/>
      <c r="F153" s="60">
        <f>SUM(F154:F160)</f>
        <v>695</v>
      </c>
      <c r="G153" s="60">
        <f>SUM(G154:G160)</f>
        <v>69</v>
      </c>
      <c r="H153" s="60">
        <f>SUM(H154:H160)</f>
        <v>626</v>
      </c>
      <c r="I153" s="55">
        <f t="shared" si="146"/>
        <v>9.9280575539568344E-2</v>
      </c>
      <c r="J153" s="78"/>
      <c r="K153" s="60">
        <f>SUM(K154:K160)</f>
        <v>83.4</v>
      </c>
      <c r="L153" s="60">
        <f>SUM(L154:L160)</f>
        <v>0</v>
      </c>
      <c r="M153" s="60">
        <f>SUM(M154:M160)</f>
        <v>83.4</v>
      </c>
      <c r="N153" s="46">
        <f t="shared" si="115"/>
        <v>0</v>
      </c>
      <c r="P153" s="56">
        <v>8.8452088452088448E-2</v>
      </c>
      <c r="R153" s="57">
        <v>5.1798561151079135E-2</v>
      </c>
      <c r="S153" s="57">
        <v>2.733812949640288E-2</v>
      </c>
      <c r="T153" s="57">
        <v>1.7266187050359712E-2</v>
      </c>
      <c r="U153" s="57">
        <v>2.8776978417266188E-3</v>
      </c>
      <c r="W153" s="60">
        <f>SUM(W154:W160)</f>
        <v>685</v>
      </c>
      <c r="X153" s="60">
        <f>SUM(X154:X160)</f>
        <v>67</v>
      </c>
      <c r="Y153" s="60">
        <f>SUM(Y154:Y160)</f>
        <v>618</v>
      </c>
      <c r="Z153" s="46">
        <f t="shared" si="118"/>
        <v>9.7810218978102187E-2</v>
      </c>
      <c r="AB153" s="60">
        <f>SUM(AB154:AB160)</f>
        <v>10</v>
      </c>
      <c r="AC153" s="60">
        <f>SUM(AC154:AC160)</f>
        <v>2</v>
      </c>
      <c r="AD153" s="60">
        <f>SUM(AD154:AD160)</f>
        <v>8</v>
      </c>
      <c r="AE153" s="46">
        <f t="shared" si="119"/>
        <v>0.2</v>
      </c>
    </row>
    <row r="154" spans="1:31" x14ac:dyDescent="0.25">
      <c r="A154" s="61" t="s">
        <v>164</v>
      </c>
      <c r="B154" s="62"/>
      <c r="C154" s="63">
        <v>2</v>
      </c>
      <c r="D154" s="62"/>
      <c r="E154" s="62"/>
      <c r="F154" s="63">
        <f>VLOOKUP(A:A,[1]Sheet1!$A:$D,4,0)</f>
        <v>163</v>
      </c>
      <c r="G154" s="63">
        <f>VLOOKUP(A:A,[1]Sheet1!$A:$C,3,0)</f>
        <v>24</v>
      </c>
      <c r="H154" s="64">
        <f t="shared" ref="H154:H165" si="150">F154-G154</f>
        <v>139</v>
      </c>
      <c r="I154" s="55">
        <f t="shared" si="146"/>
        <v>0.14723926380368099</v>
      </c>
      <c r="K154" s="65">
        <f t="shared" ref="K154:K160" si="151">F154*12/100</f>
        <v>19.559999999999999</v>
      </c>
      <c r="L154" s="63"/>
      <c r="M154" s="64">
        <f t="shared" si="149"/>
        <v>19.559999999999999</v>
      </c>
      <c r="N154" s="46">
        <f t="shared" si="115"/>
        <v>0</v>
      </c>
      <c r="P154" s="56">
        <v>0.15675675675675677</v>
      </c>
      <c r="R154" s="57">
        <v>7.3619631901840496E-2</v>
      </c>
      <c r="S154" s="57">
        <v>4.2944785276073622E-2</v>
      </c>
      <c r="T154" s="57">
        <v>2.4539877300613498E-2</v>
      </c>
      <c r="U154" s="57">
        <v>6.1349693251533744E-3</v>
      </c>
      <c r="W154" s="63">
        <f>VLOOKUP(A:A,'[1]2w &amp; 3w'!$A:$D,4,0)</f>
        <v>157</v>
      </c>
      <c r="X154" s="63">
        <f>VLOOKUP(A:A,'[1]2w &amp; 3w'!$A:$C,3,0)</f>
        <v>24</v>
      </c>
      <c r="Y154" s="63">
        <f t="shared" si="116"/>
        <v>133</v>
      </c>
      <c r="Z154" s="46">
        <f t="shared" si="118"/>
        <v>0.15286624203821655</v>
      </c>
      <c r="AB154" s="63">
        <f>VLOOKUP(A:A,'[1]2w &amp; 3w'!$A:$G,7,0)</f>
        <v>6</v>
      </c>
      <c r="AC154" s="63">
        <f>VLOOKUP(A:A,'[1]2w &amp; 3w'!$A:$F,6,0)</f>
        <v>0</v>
      </c>
      <c r="AD154" s="63">
        <f t="shared" si="117"/>
        <v>6</v>
      </c>
      <c r="AE154" s="46">
        <f t="shared" si="119"/>
        <v>0</v>
      </c>
    </row>
    <row r="155" spans="1:31" x14ac:dyDescent="0.25">
      <c r="A155" s="61" t="s">
        <v>165</v>
      </c>
      <c r="B155" s="62"/>
      <c r="C155" s="63"/>
      <c r="D155" s="62" t="s">
        <v>50</v>
      </c>
      <c r="E155" s="62"/>
      <c r="F155" s="63">
        <f>VLOOKUP(A:A,[1]Sheet1!$A:$D,4,0)</f>
        <v>53</v>
      </c>
      <c r="G155" s="63">
        <f>VLOOKUP(A:A,[1]Sheet1!$A:$C,3,0)</f>
        <v>1</v>
      </c>
      <c r="H155" s="64">
        <f t="shared" si="150"/>
        <v>52</v>
      </c>
      <c r="I155" s="55">
        <f t="shared" si="146"/>
        <v>1.8867924528301886E-2</v>
      </c>
      <c r="K155" s="65">
        <f t="shared" si="151"/>
        <v>6.36</v>
      </c>
      <c r="L155" s="63"/>
      <c r="M155" s="64">
        <f t="shared" si="149"/>
        <v>6.36</v>
      </c>
      <c r="N155" s="46">
        <f t="shared" si="115"/>
        <v>0</v>
      </c>
      <c r="P155" s="56">
        <v>8.1967213114754092E-2</v>
      </c>
      <c r="R155" s="57">
        <v>1.8867924528301886E-2</v>
      </c>
      <c r="S155" s="57">
        <v>0</v>
      </c>
      <c r="T155" s="57">
        <v>0</v>
      </c>
      <c r="U155" s="57">
        <v>0</v>
      </c>
      <c r="W155" s="63">
        <f>VLOOKUP(A:A,'[1]2w &amp; 3w'!$A:$D,4,0)</f>
        <v>53</v>
      </c>
      <c r="X155" s="63">
        <f>VLOOKUP(A:A,'[1]2w &amp; 3w'!$A:$C,3,0)</f>
        <v>1</v>
      </c>
      <c r="Y155" s="63">
        <f t="shared" si="116"/>
        <v>52</v>
      </c>
      <c r="Z155" s="46">
        <f t="shared" si="118"/>
        <v>1.8867924528301886E-2</v>
      </c>
      <c r="AB155" s="63">
        <f>VLOOKUP(A:A,'[1]2w &amp; 3w'!$A:$G,7,0)</f>
        <v>0</v>
      </c>
      <c r="AC155" s="63">
        <f>VLOOKUP(A:A,'[1]2w &amp; 3w'!$A:$F,6,0)</f>
        <v>0</v>
      </c>
      <c r="AD155" s="63">
        <f t="shared" si="117"/>
        <v>0</v>
      </c>
      <c r="AE155" s="46">
        <v>0</v>
      </c>
    </row>
    <row r="156" spans="1:31" x14ac:dyDescent="0.25">
      <c r="A156" s="61" t="s">
        <v>166</v>
      </c>
      <c r="B156" s="62"/>
      <c r="C156" s="63">
        <v>2</v>
      </c>
      <c r="D156" s="62"/>
      <c r="E156" s="62"/>
      <c r="F156" s="63">
        <f>VLOOKUP(A:A,[1]Sheet1!$A:$D,4,0)</f>
        <v>196</v>
      </c>
      <c r="G156" s="63">
        <f>VLOOKUP(A:A,[1]Sheet1!$A:$C,3,0)</f>
        <v>16</v>
      </c>
      <c r="H156" s="64">
        <f t="shared" si="150"/>
        <v>180</v>
      </c>
      <c r="I156" s="55">
        <f t="shared" si="146"/>
        <v>8.1632653061224483E-2</v>
      </c>
      <c r="K156" s="65">
        <f t="shared" si="151"/>
        <v>23.52</v>
      </c>
      <c r="L156" s="63"/>
      <c r="M156" s="64">
        <f t="shared" si="149"/>
        <v>23.52</v>
      </c>
      <c r="N156" s="46">
        <f t="shared" si="115"/>
        <v>0</v>
      </c>
      <c r="P156" s="56">
        <v>8.3333333333333329E-2</v>
      </c>
      <c r="R156" s="57">
        <v>4.0816326530612242E-2</v>
      </c>
      <c r="S156" s="57">
        <v>3.0612244897959183E-2</v>
      </c>
      <c r="T156" s="57">
        <v>1.020408163265306E-2</v>
      </c>
      <c r="U156" s="57">
        <v>0</v>
      </c>
      <c r="W156" s="63">
        <f>VLOOKUP(A:A,'[1]2w &amp; 3w'!$A:$D,4,0)</f>
        <v>195</v>
      </c>
      <c r="X156" s="63">
        <f>VLOOKUP(A:A,'[1]2w &amp; 3w'!$A:$C,3,0)</f>
        <v>16</v>
      </c>
      <c r="Y156" s="63">
        <f t="shared" si="116"/>
        <v>179</v>
      </c>
      <c r="Z156" s="46">
        <f t="shared" si="118"/>
        <v>8.2051282051282051E-2</v>
      </c>
      <c r="AB156" s="63">
        <f>VLOOKUP(A:A,'[1]2w &amp; 3w'!$A:$G,7,0)</f>
        <v>1</v>
      </c>
      <c r="AC156" s="63">
        <f>VLOOKUP(A:A,'[1]2w &amp; 3w'!$A:$F,6,0)</f>
        <v>0</v>
      </c>
      <c r="AD156" s="63">
        <f t="shared" si="117"/>
        <v>1</v>
      </c>
      <c r="AE156" s="46">
        <f t="shared" si="119"/>
        <v>0</v>
      </c>
    </row>
    <row r="157" spans="1:31" x14ac:dyDescent="0.25">
      <c r="A157" s="61" t="s">
        <v>167</v>
      </c>
      <c r="B157" s="62"/>
      <c r="C157" s="63">
        <v>1</v>
      </c>
      <c r="D157" s="62"/>
      <c r="E157" s="62"/>
      <c r="F157" s="63">
        <f>VLOOKUP(A:A,[1]Sheet1!$A:$D,4,0)</f>
        <v>144</v>
      </c>
      <c r="G157" s="63">
        <f>VLOOKUP(A:A,[1]Sheet1!$A:$C,3,0)</f>
        <v>19</v>
      </c>
      <c r="H157" s="64">
        <f t="shared" si="150"/>
        <v>125</v>
      </c>
      <c r="I157" s="55">
        <f t="shared" si="146"/>
        <v>0.13194444444444445</v>
      </c>
      <c r="K157" s="65">
        <f t="shared" si="151"/>
        <v>17.28</v>
      </c>
      <c r="L157" s="63"/>
      <c r="M157" s="64">
        <f t="shared" si="149"/>
        <v>17.28</v>
      </c>
      <c r="N157" s="46">
        <f t="shared" si="115"/>
        <v>0</v>
      </c>
      <c r="P157" s="56">
        <v>4.2780748663101602E-2</v>
      </c>
      <c r="R157" s="57">
        <v>7.6388888888888895E-2</v>
      </c>
      <c r="S157" s="57">
        <v>2.7777777777777776E-2</v>
      </c>
      <c r="T157" s="57">
        <v>2.0833333333333332E-2</v>
      </c>
      <c r="U157" s="57">
        <v>6.9444444444444441E-3</v>
      </c>
      <c r="W157" s="63">
        <f>VLOOKUP(A:A,'[1]2w &amp; 3w'!$A:$D,4,0)</f>
        <v>141</v>
      </c>
      <c r="X157" s="63">
        <f>VLOOKUP(A:A,'[1]2w &amp; 3w'!$A:$C,3,0)</f>
        <v>17</v>
      </c>
      <c r="Y157" s="63">
        <f t="shared" si="116"/>
        <v>124</v>
      </c>
      <c r="Z157" s="46">
        <f t="shared" si="118"/>
        <v>0.12056737588652482</v>
      </c>
      <c r="AB157" s="63">
        <f>VLOOKUP(A:A,'[1]2w &amp; 3w'!$A:$G,7,0)</f>
        <v>3</v>
      </c>
      <c r="AC157" s="63">
        <f>VLOOKUP(A:A,'[1]2w &amp; 3w'!$A:$F,6,0)</f>
        <v>2</v>
      </c>
      <c r="AD157" s="63">
        <f t="shared" si="117"/>
        <v>1</v>
      </c>
      <c r="AE157" s="46">
        <f t="shared" si="119"/>
        <v>0.66666666666666663</v>
      </c>
    </row>
    <row r="158" spans="1:31" x14ac:dyDescent="0.25">
      <c r="A158" s="61" t="s">
        <v>168</v>
      </c>
      <c r="B158" s="62"/>
      <c r="C158" s="63">
        <v>1</v>
      </c>
      <c r="D158" s="62"/>
      <c r="E158" s="62"/>
      <c r="F158" s="63">
        <f>VLOOKUP(A:A,[1]Sheet1!$A:$D,4,0)</f>
        <v>94</v>
      </c>
      <c r="G158" s="63">
        <f>VLOOKUP(A:A,[1]Sheet1!$A:$C,3,0)</f>
        <v>6</v>
      </c>
      <c r="H158" s="64">
        <f>F158-G158</f>
        <v>88</v>
      </c>
      <c r="I158" s="55">
        <f>G158/F158</f>
        <v>6.3829787234042548E-2</v>
      </c>
      <c r="K158" s="65">
        <f t="shared" si="151"/>
        <v>11.28</v>
      </c>
      <c r="L158" s="63"/>
      <c r="M158" s="64">
        <f t="shared" si="149"/>
        <v>11.28</v>
      </c>
      <c r="N158" s="46">
        <f t="shared" si="115"/>
        <v>0</v>
      </c>
      <c r="P158" s="56">
        <v>6.5573770491803282E-2</v>
      </c>
      <c r="R158" s="57">
        <v>4.2553191489361694E-2</v>
      </c>
      <c r="S158" s="57">
        <v>1.0638297872340425E-2</v>
      </c>
      <c r="T158" s="57">
        <v>1.0638297872340425E-2</v>
      </c>
      <c r="U158" s="57">
        <v>0</v>
      </c>
      <c r="W158" s="63">
        <f>VLOOKUP(A:A,'[1]2w &amp; 3w'!$A:$D,4,0)</f>
        <v>94</v>
      </c>
      <c r="X158" s="63">
        <f>VLOOKUP(A:A,'[1]2w &amp; 3w'!$A:$C,3,0)</f>
        <v>6</v>
      </c>
      <c r="Y158" s="63">
        <f t="shared" si="116"/>
        <v>88</v>
      </c>
      <c r="Z158" s="46">
        <f t="shared" si="118"/>
        <v>6.3829787234042548E-2</v>
      </c>
      <c r="AB158" s="63">
        <f>VLOOKUP(A:A,'[1]2w &amp; 3w'!$A:$G,7,0)</f>
        <v>0</v>
      </c>
      <c r="AC158" s="63">
        <f>VLOOKUP(A:A,'[1]2w &amp; 3w'!$A:$F,6,0)</f>
        <v>0</v>
      </c>
      <c r="AD158" s="63">
        <f t="shared" si="117"/>
        <v>0</v>
      </c>
      <c r="AE158" s="46">
        <v>0</v>
      </c>
    </row>
    <row r="159" spans="1:31" x14ac:dyDescent="0.25">
      <c r="A159" s="61" t="s">
        <v>169</v>
      </c>
      <c r="B159" s="62"/>
      <c r="C159" s="63"/>
      <c r="D159" s="62"/>
      <c r="E159" s="62"/>
      <c r="F159" s="63">
        <f>VLOOKUP(A:A,[1]Sheet1!$A:$D,4,0)</f>
        <v>31</v>
      </c>
      <c r="G159" s="63">
        <f>VLOOKUP(A:A,[1]Sheet1!$A:$C,3,0)</f>
        <v>3</v>
      </c>
      <c r="H159" s="64">
        <f t="shared" si="150"/>
        <v>28</v>
      </c>
      <c r="I159" s="55">
        <f t="shared" si="146"/>
        <v>9.6774193548387094E-2</v>
      </c>
      <c r="K159" s="65">
        <f t="shared" si="151"/>
        <v>3.72</v>
      </c>
      <c r="L159" s="63"/>
      <c r="M159" s="64">
        <f t="shared" si="149"/>
        <v>3.72</v>
      </c>
      <c r="N159" s="46">
        <f t="shared" si="115"/>
        <v>0</v>
      </c>
      <c r="P159" s="56">
        <v>0.1</v>
      </c>
      <c r="R159" s="57">
        <v>0</v>
      </c>
      <c r="S159" s="57">
        <v>3.2258064516129031E-2</v>
      </c>
      <c r="T159" s="57">
        <v>6.4516129032258063E-2</v>
      </c>
      <c r="U159" s="57">
        <v>0</v>
      </c>
      <c r="W159" s="63">
        <f>VLOOKUP(A:A,'[1]2w &amp; 3w'!$A:$D,4,0)</f>
        <v>31</v>
      </c>
      <c r="X159" s="63">
        <f>VLOOKUP(A:A,'[1]2w &amp; 3w'!$A:$C,3,0)</f>
        <v>3</v>
      </c>
      <c r="Y159" s="63">
        <f t="shared" si="116"/>
        <v>28</v>
      </c>
      <c r="Z159" s="46">
        <f t="shared" si="118"/>
        <v>9.6774193548387094E-2</v>
      </c>
      <c r="AB159" s="63">
        <f>VLOOKUP(A:A,'[1]2w &amp; 3w'!$A:$G,7,0)</f>
        <v>0</v>
      </c>
      <c r="AC159" s="63">
        <f>VLOOKUP(A:A,'[1]2w &amp; 3w'!$A:$F,6,0)</f>
        <v>0</v>
      </c>
      <c r="AD159" s="63">
        <f t="shared" si="117"/>
        <v>0</v>
      </c>
      <c r="AE159" s="46">
        <v>0</v>
      </c>
    </row>
    <row r="160" spans="1:31" x14ac:dyDescent="0.25">
      <c r="A160" s="61" t="s">
        <v>170</v>
      </c>
      <c r="B160" s="62"/>
      <c r="C160" s="63"/>
      <c r="D160" s="62"/>
      <c r="E160" s="62"/>
      <c r="F160" s="63">
        <f>VLOOKUP(A:A,[1]Sheet1!$A:$D,4,0)</f>
        <v>14</v>
      </c>
      <c r="G160" s="63">
        <f>VLOOKUP(A:A,[1]Sheet1!$A:$C,3,0)</f>
        <v>0</v>
      </c>
      <c r="H160" s="64">
        <f t="shared" si="150"/>
        <v>14</v>
      </c>
      <c r="I160" s="55">
        <f t="shared" si="146"/>
        <v>0</v>
      </c>
      <c r="K160" s="65">
        <f t="shared" si="151"/>
        <v>1.68</v>
      </c>
      <c r="L160" s="63"/>
      <c r="M160" s="64">
        <f t="shared" si="149"/>
        <v>1.68</v>
      </c>
      <c r="N160" s="46">
        <f t="shared" si="115"/>
        <v>0</v>
      </c>
      <c r="P160" s="56">
        <v>6.6666666666666666E-2</v>
      </c>
      <c r="R160" s="57">
        <v>0</v>
      </c>
      <c r="S160" s="57">
        <v>0</v>
      </c>
      <c r="T160" s="57">
        <v>0</v>
      </c>
      <c r="U160" s="57">
        <v>0</v>
      </c>
      <c r="W160" s="63">
        <f>VLOOKUP(A:A,'[1]2w &amp; 3w'!$A:$D,4,0)</f>
        <v>14</v>
      </c>
      <c r="X160" s="63">
        <f>VLOOKUP(A:A,'[1]2w &amp; 3w'!$A:$C,3,0)</f>
        <v>0</v>
      </c>
      <c r="Y160" s="63">
        <f t="shared" si="116"/>
        <v>14</v>
      </c>
      <c r="Z160" s="46">
        <f t="shared" si="118"/>
        <v>0</v>
      </c>
      <c r="AB160" s="63">
        <f>VLOOKUP(A:A,'[1]2w &amp; 3w'!$A:$G,7,0)</f>
        <v>0</v>
      </c>
      <c r="AC160" s="63">
        <f>VLOOKUP(A:A,'[1]2w &amp; 3w'!$A:$F,6,0)</f>
        <v>0</v>
      </c>
      <c r="AD160" s="63">
        <f t="shared" si="117"/>
        <v>0</v>
      </c>
      <c r="AE160" s="46">
        <v>0</v>
      </c>
    </row>
    <row r="161" spans="1:31" x14ac:dyDescent="0.25">
      <c r="A161" s="76" t="s">
        <v>171</v>
      </c>
      <c r="B161" s="53"/>
      <c r="C161" s="54">
        <f>SUM(C162:C163)</f>
        <v>1</v>
      </c>
      <c r="D161" s="53"/>
      <c r="E161" s="53"/>
      <c r="F161" s="76">
        <f>SUM(F162:F165)</f>
        <v>143</v>
      </c>
      <c r="G161" s="76">
        <f>SUM(G162:G165)</f>
        <v>11</v>
      </c>
      <c r="H161" s="76">
        <f>SUM(H162:H165)</f>
        <v>132</v>
      </c>
      <c r="I161" s="55">
        <f t="shared" si="146"/>
        <v>7.6923076923076927E-2</v>
      </c>
      <c r="K161" s="54">
        <f>SUM(K162:K165)</f>
        <v>17.16</v>
      </c>
      <c r="L161" s="54">
        <f>SUM(L162:L165)</f>
        <v>0</v>
      </c>
      <c r="M161" s="54">
        <f>SUM(M162:M165)</f>
        <v>17.16</v>
      </c>
      <c r="N161" s="46">
        <f t="shared" si="115"/>
        <v>0</v>
      </c>
      <c r="P161" s="56">
        <v>9.3959731543624164E-2</v>
      </c>
      <c r="R161" s="57">
        <v>3.4965034965034968E-2</v>
      </c>
      <c r="S161" s="57">
        <v>2.097902097902098E-2</v>
      </c>
      <c r="T161" s="57">
        <v>0</v>
      </c>
      <c r="U161" s="57">
        <v>2.097902097902098E-2</v>
      </c>
      <c r="W161" s="54">
        <f>SUM(W162:W165)</f>
        <v>44</v>
      </c>
      <c r="X161" s="54">
        <f>SUM(X162:X165)</f>
        <v>2</v>
      </c>
      <c r="Y161" s="54">
        <f>SUM(Y162:Y165)</f>
        <v>42</v>
      </c>
      <c r="Z161" s="46">
        <f t="shared" si="118"/>
        <v>4.5454545454545456E-2</v>
      </c>
      <c r="AB161" s="54">
        <f>SUM(AB162:AB165)</f>
        <v>99</v>
      </c>
      <c r="AC161" s="54">
        <f>SUM(AC162:AC165)</f>
        <v>9</v>
      </c>
      <c r="AD161" s="54">
        <f>SUM(AD162:AD165)</f>
        <v>90</v>
      </c>
      <c r="AE161" s="46">
        <f t="shared" si="119"/>
        <v>9.0909090909090912E-2</v>
      </c>
    </row>
    <row r="162" spans="1:31" x14ac:dyDescent="0.25">
      <c r="A162" s="61" t="s">
        <v>172</v>
      </c>
      <c r="B162" s="62"/>
      <c r="C162" s="63">
        <v>1</v>
      </c>
      <c r="D162" s="62"/>
      <c r="E162" s="62"/>
      <c r="F162" s="63">
        <f>VLOOKUP(A:A,[1]Sheet1!$A:$D,4,0)</f>
        <v>60</v>
      </c>
      <c r="G162" s="63">
        <f>VLOOKUP(A:A,[1]Sheet1!$A:$C,3,0)</f>
        <v>6</v>
      </c>
      <c r="H162" s="64">
        <f t="shared" si="150"/>
        <v>54</v>
      </c>
      <c r="I162" s="55">
        <f t="shared" si="146"/>
        <v>0.1</v>
      </c>
      <c r="K162" s="65">
        <f t="shared" ref="K162:K165" si="152">F162*12/100</f>
        <v>7.2</v>
      </c>
      <c r="L162" s="63"/>
      <c r="M162" s="64">
        <f t="shared" si="149"/>
        <v>7.2</v>
      </c>
      <c r="N162" s="46">
        <f t="shared" si="115"/>
        <v>0</v>
      </c>
      <c r="P162" s="56">
        <v>7.6923076923076927E-2</v>
      </c>
      <c r="R162" s="57">
        <v>6.666666666666668E-2</v>
      </c>
      <c r="S162" s="57">
        <v>1.6666666666666666E-2</v>
      </c>
      <c r="T162" s="57">
        <v>0</v>
      </c>
      <c r="U162" s="57">
        <v>1.6666666666666666E-2</v>
      </c>
      <c r="W162" s="63">
        <f>VLOOKUP(A:A,'[1]2w &amp; 3w'!$A:$D,4,0)</f>
        <v>2</v>
      </c>
      <c r="X162" s="63">
        <f>VLOOKUP(A:A,'[1]2w &amp; 3w'!$A:$C,3,0)</f>
        <v>0</v>
      </c>
      <c r="Y162" s="63">
        <f t="shared" si="116"/>
        <v>2</v>
      </c>
      <c r="Z162" s="46">
        <f t="shared" si="118"/>
        <v>0</v>
      </c>
      <c r="AB162" s="63">
        <f>VLOOKUP(A:A,'[1]2w &amp; 3w'!$A:$G,7,0)</f>
        <v>58</v>
      </c>
      <c r="AC162" s="63">
        <f>VLOOKUP(A:A,'[1]2w &amp; 3w'!$A:$F,6,0)</f>
        <v>6</v>
      </c>
      <c r="AD162" s="63">
        <f t="shared" si="117"/>
        <v>52</v>
      </c>
      <c r="AE162" s="46">
        <f t="shared" si="119"/>
        <v>0.10344827586206896</v>
      </c>
    </row>
    <row r="163" spans="1:31" x14ac:dyDescent="0.25">
      <c r="A163" s="61" t="s">
        <v>173</v>
      </c>
      <c r="B163" s="62"/>
      <c r="C163" s="63"/>
      <c r="D163" s="62"/>
      <c r="E163" s="62"/>
      <c r="F163" s="63">
        <f>VLOOKUP(A:A,[1]Sheet1!$A:$D,4,0)</f>
        <v>65</v>
      </c>
      <c r="G163" s="63">
        <f>VLOOKUP(A:A,[1]Sheet1!$A:$C,3,0)</f>
        <v>4</v>
      </c>
      <c r="H163" s="64">
        <f t="shared" si="150"/>
        <v>61</v>
      </c>
      <c r="I163" s="55">
        <f t="shared" si="146"/>
        <v>6.1538461538461542E-2</v>
      </c>
      <c r="K163" s="65">
        <f t="shared" si="152"/>
        <v>7.8</v>
      </c>
      <c r="L163" s="63"/>
      <c r="M163" s="64">
        <f t="shared" si="149"/>
        <v>7.8</v>
      </c>
      <c r="N163" s="46">
        <f t="shared" si="115"/>
        <v>0</v>
      </c>
      <c r="P163" s="56">
        <v>0.14299999999999999</v>
      </c>
      <c r="R163" s="57">
        <v>1.5384615384615385E-2</v>
      </c>
      <c r="S163" s="57">
        <v>3.0769230769230771E-2</v>
      </c>
      <c r="T163" s="57">
        <v>0</v>
      </c>
      <c r="U163" s="57">
        <v>1.5384615384615385E-2</v>
      </c>
      <c r="W163" s="63">
        <f>VLOOKUP(A:A,'[1]2w &amp; 3w'!$A:$D,4,0)</f>
        <v>32</v>
      </c>
      <c r="X163" s="63">
        <f>VLOOKUP(A:A,'[1]2w &amp; 3w'!$A:$C,3,0)</f>
        <v>2</v>
      </c>
      <c r="Y163" s="63">
        <f t="shared" si="116"/>
        <v>30</v>
      </c>
      <c r="Z163" s="46">
        <f t="shared" si="118"/>
        <v>6.25E-2</v>
      </c>
      <c r="AB163" s="63">
        <f>VLOOKUP(A:A,'[1]2w &amp; 3w'!$A:$G,7,0)</f>
        <v>33</v>
      </c>
      <c r="AC163" s="63">
        <f>VLOOKUP(A:A,'[1]2w &amp; 3w'!$A:$F,6,0)</f>
        <v>2</v>
      </c>
      <c r="AD163" s="63">
        <f t="shared" si="117"/>
        <v>31</v>
      </c>
      <c r="AE163" s="46">
        <f t="shared" si="119"/>
        <v>6.0606060606060608E-2</v>
      </c>
    </row>
    <row r="164" spans="1:31" x14ac:dyDescent="0.25">
      <c r="A164" s="61" t="s">
        <v>174</v>
      </c>
      <c r="B164" s="62"/>
      <c r="C164" s="63"/>
      <c r="D164" s="62"/>
      <c r="E164" s="62"/>
      <c r="F164" s="63">
        <f>VLOOKUP(A:A,[1]Sheet1!$A:$D,4,0)</f>
        <v>8</v>
      </c>
      <c r="G164" s="63">
        <f>VLOOKUP(A:A,[1]Sheet1!$A:$C,3,0)</f>
        <v>1</v>
      </c>
      <c r="H164" s="64">
        <f t="shared" si="150"/>
        <v>7</v>
      </c>
      <c r="I164" s="55">
        <f t="shared" si="146"/>
        <v>0.125</v>
      </c>
      <c r="K164" s="65">
        <f t="shared" si="152"/>
        <v>0.96</v>
      </c>
      <c r="L164" s="63"/>
      <c r="M164" s="64">
        <f t="shared" si="149"/>
        <v>0.96</v>
      </c>
      <c r="N164" s="46">
        <f t="shared" si="115"/>
        <v>0</v>
      </c>
      <c r="P164" s="56">
        <v>6.6666666666666666E-2</v>
      </c>
      <c r="R164" s="57">
        <v>0</v>
      </c>
      <c r="S164" s="57">
        <v>0</v>
      </c>
      <c r="T164" s="57">
        <v>0</v>
      </c>
      <c r="U164" s="57">
        <v>0.125</v>
      </c>
      <c r="W164" s="63">
        <f>VLOOKUP(A:A,'[1]2w &amp; 3w'!$A:$D,4,0)</f>
        <v>0</v>
      </c>
      <c r="X164" s="63">
        <f>VLOOKUP(A:A,'[1]2w &amp; 3w'!$A:$C,3,0)</f>
        <v>0</v>
      </c>
      <c r="Y164" s="63">
        <f t="shared" si="116"/>
        <v>0</v>
      </c>
      <c r="Z164" s="46">
        <v>0</v>
      </c>
      <c r="AB164" s="63">
        <f>VLOOKUP(A:A,'[1]2w &amp; 3w'!$A:$G,7,0)</f>
        <v>8</v>
      </c>
      <c r="AC164" s="63">
        <f>VLOOKUP(A:A,'[1]2w &amp; 3w'!$A:$F,6,0)</f>
        <v>1</v>
      </c>
      <c r="AD164" s="63">
        <f t="shared" si="117"/>
        <v>7</v>
      </c>
      <c r="AE164" s="46">
        <f t="shared" si="119"/>
        <v>0.125</v>
      </c>
    </row>
    <row r="165" spans="1:31" x14ac:dyDescent="0.25">
      <c r="A165" s="61" t="s">
        <v>175</v>
      </c>
      <c r="B165" s="62"/>
      <c r="C165" s="63"/>
      <c r="D165" s="62"/>
      <c r="E165" s="62"/>
      <c r="F165" s="63">
        <f>VLOOKUP(A:A,[1]Sheet1!$A:$D,4,0)</f>
        <v>10</v>
      </c>
      <c r="G165" s="63">
        <f>VLOOKUP(A:A,[1]Sheet1!$A:$C,3,0)</f>
        <v>0</v>
      </c>
      <c r="H165" s="64">
        <f t="shared" si="150"/>
        <v>10</v>
      </c>
      <c r="I165" s="55">
        <f t="shared" si="146"/>
        <v>0</v>
      </c>
      <c r="K165" s="65">
        <f t="shared" si="152"/>
        <v>1.2</v>
      </c>
      <c r="L165" s="63"/>
      <c r="M165" s="64">
        <f t="shared" si="149"/>
        <v>1.2</v>
      </c>
      <c r="N165" s="46">
        <f t="shared" si="115"/>
        <v>0</v>
      </c>
      <c r="P165" s="56">
        <v>0</v>
      </c>
      <c r="R165" s="57">
        <v>0</v>
      </c>
      <c r="S165" s="57">
        <v>0</v>
      </c>
      <c r="T165" s="57">
        <v>0</v>
      </c>
      <c r="U165" s="57">
        <v>0</v>
      </c>
      <c r="W165" s="63">
        <f>VLOOKUP(A:A,'[1]2w &amp; 3w'!$A:$D,4,0)</f>
        <v>10</v>
      </c>
      <c r="X165" s="63">
        <f>VLOOKUP(A:A,'[1]2w &amp; 3w'!$A:$C,3,0)</f>
        <v>0</v>
      </c>
      <c r="Y165" s="63">
        <f t="shared" si="116"/>
        <v>10</v>
      </c>
      <c r="Z165" s="46">
        <f t="shared" si="118"/>
        <v>0</v>
      </c>
      <c r="AB165" s="63">
        <f>VLOOKUP(A:A,'[1]2w &amp; 3w'!$A:$G,7,0)</f>
        <v>0</v>
      </c>
      <c r="AC165" s="63">
        <f>VLOOKUP(A:A,'[1]2w &amp; 3w'!$A:$F,6,0)</f>
        <v>0</v>
      </c>
      <c r="AD165" s="63">
        <f t="shared" si="117"/>
        <v>0</v>
      </c>
      <c r="AE165" s="46">
        <v>0</v>
      </c>
    </row>
    <row r="166" spans="1:31" x14ac:dyDescent="0.25">
      <c r="A166" s="83" t="s">
        <v>176</v>
      </c>
      <c r="B166" s="83"/>
      <c r="C166" s="84"/>
      <c r="D166" s="83"/>
      <c r="E166" s="83"/>
      <c r="F166" s="85">
        <f>F161+F146+F119+F80+F68+F34+F3</f>
        <v>15952</v>
      </c>
      <c r="G166" s="85">
        <f>G161+G146+G119+G80+G68+G34+G3</f>
        <v>1867</v>
      </c>
      <c r="H166" s="85">
        <f>H161+H146+H119+H80+H68+H34+H3</f>
        <v>14085</v>
      </c>
      <c r="I166" s="55">
        <f t="shared" si="146"/>
        <v>0.11703861584754263</v>
      </c>
      <c r="K166" s="85">
        <f>K161+K146+K119+K80+K68+K34+K3</f>
        <v>1914.24</v>
      </c>
      <c r="L166" s="85">
        <f>L161+L146+L119+L80+L68+L34+L3</f>
        <v>0</v>
      </c>
      <c r="M166" s="85">
        <f>M161+M146+M119+M80+M68+M34+M3</f>
        <v>1914.24</v>
      </c>
      <c r="N166" s="46">
        <f t="shared" si="115"/>
        <v>0</v>
      </c>
      <c r="P166" s="56">
        <v>0.14665298209602007</v>
      </c>
      <c r="R166" s="57">
        <v>6.6762788365095291E-2</v>
      </c>
      <c r="S166" s="57">
        <v>2.4385656970912738E-2</v>
      </c>
      <c r="T166" s="57">
        <v>1.5358575727181543E-2</v>
      </c>
      <c r="U166" s="57">
        <v>1.053159478435306E-2</v>
      </c>
      <c r="W166" s="85">
        <f>W161+W146+W119+W80+W68+W34+W3</f>
        <v>9046</v>
      </c>
      <c r="X166" s="85">
        <f>X161+X146+X119+X80+X68+X34+X3</f>
        <v>763</v>
      </c>
      <c r="Y166" s="85">
        <f>Y161+Y146+Y119+Y80+Y68+Y34+Y3</f>
        <v>8283</v>
      </c>
      <c r="Z166" s="46">
        <f t="shared" si="118"/>
        <v>8.4346672562458549E-2</v>
      </c>
      <c r="AB166" s="85">
        <f>AB161+AB146+AB119+AB80+AB68+AB34+AB3</f>
        <v>6906</v>
      </c>
      <c r="AC166" s="85">
        <f>AC161+AC146+AC119+AC80+AC68+AC34+AC3</f>
        <v>1104</v>
      </c>
      <c r="AD166" s="85">
        <f>AD161+AD146+AD119+AD80+AD68+AD34+AD3</f>
        <v>5802</v>
      </c>
      <c r="AE166" s="46">
        <f t="shared" si="119"/>
        <v>0.15986099044309296</v>
      </c>
    </row>
    <row r="167" spans="1:31" x14ac:dyDescent="0.25">
      <c r="H167" s="86"/>
    </row>
    <row r="168" spans="1:31" x14ac:dyDescent="0.25">
      <c r="F168" s="86"/>
      <c r="H168" s="86"/>
    </row>
    <row r="169" spans="1:31" x14ac:dyDescent="0.25">
      <c r="F169" s="86"/>
    </row>
  </sheetData>
  <autoFilter ref="A2:AF166" xr:uid="{00000000-0001-0000-0000-000000000000}"/>
  <conditionalFormatting sqref="I7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1:I166 I2:I69 I73:I13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41:N166 N1:N13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4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16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:AE16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BAE6-B758-404A-8AE5-3A43ED19AAC9}">
  <dimension ref="A2:M42"/>
  <sheetViews>
    <sheetView topLeftCell="A18" workbookViewId="0">
      <selection activeCell="K40" sqref="K40"/>
    </sheetView>
  </sheetViews>
  <sheetFormatPr defaultRowHeight="15" x14ac:dyDescent="0.25"/>
  <cols>
    <col min="1" max="1" width="13.28515625" bestFit="1" customWidth="1"/>
    <col min="2" max="4" width="6.28515625" customWidth="1"/>
    <col min="5" max="5" width="7" customWidth="1"/>
    <col min="6" max="6" width="8.28515625" customWidth="1"/>
    <col min="7" max="11" width="5.28515625" customWidth="1"/>
    <col min="12" max="12" width="3.7109375" customWidth="1"/>
  </cols>
  <sheetData>
    <row r="2" spans="1:13" x14ac:dyDescent="0.25">
      <c r="A2" s="1" t="s">
        <v>193</v>
      </c>
      <c r="B2" s="2"/>
      <c r="C2" s="3"/>
      <c r="D2" s="3"/>
      <c r="E2" s="4"/>
      <c r="F2" s="5"/>
      <c r="G2" s="6"/>
      <c r="H2" s="6"/>
    </row>
    <row r="3" spans="1:13" ht="36.75" x14ac:dyDescent="0.25">
      <c r="A3" s="7" t="s">
        <v>0</v>
      </c>
      <c r="B3" s="8" t="s">
        <v>3</v>
      </c>
      <c r="C3" s="7" t="s">
        <v>4</v>
      </c>
      <c r="D3" s="7" t="s">
        <v>5</v>
      </c>
      <c r="E3" s="9" t="s">
        <v>6</v>
      </c>
      <c r="F3" s="5"/>
      <c r="G3" s="18" t="s">
        <v>183</v>
      </c>
      <c r="H3" s="18" t="s">
        <v>184</v>
      </c>
      <c r="I3" s="18" t="s">
        <v>185</v>
      </c>
      <c r="J3" s="18" t="s">
        <v>186</v>
      </c>
      <c r="K3" s="18" t="s">
        <v>195</v>
      </c>
      <c r="L3" s="19"/>
      <c r="M3" s="18" t="s">
        <v>187</v>
      </c>
    </row>
    <row r="4" spans="1:13" x14ac:dyDescent="0.25">
      <c r="A4" s="15" t="s">
        <v>9</v>
      </c>
      <c r="B4" s="11">
        <f>SUM(B5:B11)</f>
        <v>3242</v>
      </c>
      <c r="C4" s="11">
        <f t="shared" ref="C4:D4" si="0">SUM(C5:C11)</f>
        <v>403</v>
      </c>
      <c r="D4" s="11">
        <f t="shared" si="0"/>
        <v>2839</v>
      </c>
      <c r="E4" s="12">
        <f>C4/B4</f>
        <v>0.1243059839605182</v>
      </c>
      <c r="F4" s="5"/>
      <c r="G4" s="20">
        <f t="shared" ref="G4:M4" si="1">SUM(G5:G11)</f>
        <v>0</v>
      </c>
      <c r="H4" s="20">
        <f t="shared" si="1"/>
        <v>0</v>
      </c>
      <c r="I4" s="20">
        <f t="shared" si="1"/>
        <v>4</v>
      </c>
      <c r="J4" s="20">
        <f t="shared" si="1"/>
        <v>3</v>
      </c>
      <c r="K4" s="20">
        <f t="shared" ref="K4" si="2">SUM(K5:K11)</f>
        <v>2</v>
      </c>
      <c r="L4" s="21"/>
      <c r="M4" s="20">
        <f t="shared" si="1"/>
        <v>9</v>
      </c>
    </row>
    <row r="5" spans="1:13" x14ac:dyDescent="0.25">
      <c r="A5" s="14" t="s">
        <v>10</v>
      </c>
      <c r="B5" s="22">
        <f>VLOOKUP(A:A,Sheet1!A:F,6,0)</f>
        <v>562</v>
      </c>
      <c r="C5" s="22">
        <f>VLOOKUP(A:A,Sheet1!A:G,7,0)</f>
        <v>61</v>
      </c>
      <c r="D5" s="22">
        <f>B5-C5</f>
        <v>501</v>
      </c>
      <c r="E5" s="12">
        <f t="shared" ref="E5:E37" si="3">C5/B5</f>
        <v>0.10854092526690391</v>
      </c>
      <c r="F5" s="6"/>
      <c r="G5" s="23"/>
      <c r="H5" s="23"/>
      <c r="I5" s="23"/>
      <c r="J5" s="23"/>
      <c r="K5" s="23"/>
      <c r="L5" s="6"/>
      <c r="M5" s="24">
        <f>I5+H5+G5+J5+K5</f>
        <v>0</v>
      </c>
    </row>
    <row r="6" spans="1:13" x14ac:dyDescent="0.25">
      <c r="A6" s="14" t="s">
        <v>16</v>
      </c>
      <c r="B6" s="22">
        <f>VLOOKUP(A:A,Sheet1!A:F,6,0)</f>
        <v>235</v>
      </c>
      <c r="C6" s="22">
        <f>VLOOKUP(A:A,Sheet1!A:G,7,0)</f>
        <v>35</v>
      </c>
      <c r="D6" s="22">
        <f t="shared" ref="D6:D11" si="4">B6-C6</f>
        <v>200</v>
      </c>
      <c r="E6" s="12">
        <f t="shared" si="3"/>
        <v>0.14893617021276595</v>
      </c>
      <c r="F6" s="6"/>
      <c r="G6" s="23"/>
      <c r="H6" s="23"/>
      <c r="I6" s="23"/>
      <c r="J6" s="23"/>
      <c r="K6" s="23"/>
      <c r="L6" s="6"/>
      <c r="M6" s="24">
        <f t="shared" ref="M6:M11" si="5">I6+H6+G6+J6+K6</f>
        <v>0</v>
      </c>
    </row>
    <row r="7" spans="1:13" x14ac:dyDescent="0.25">
      <c r="A7" s="14" t="s">
        <v>18</v>
      </c>
      <c r="B7" s="22">
        <f>VLOOKUP(A:A,Sheet1!A:F,6,0)</f>
        <v>122</v>
      </c>
      <c r="C7" s="22">
        <f>VLOOKUP(A:A,Sheet1!A:G,7,0)</f>
        <v>10</v>
      </c>
      <c r="D7" s="22">
        <f t="shared" si="4"/>
        <v>112</v>
      </c>
      <c r="E7" s="12">
        <f t="shared" si="3"/>
        <v>8.1967213114754092E-2</v>
      </c>
      <c r="F7" s="6"/>
      <c r="G7" s="23"/>
      <c r="H7" s="23"/>
      <c r="I7" s="23"/>
      <c r="J7" s="23"/>
      <c r="K7" s="23"/>
      <c r="L7" s="6"/>
      <c r="M7" s="24">
        <f t="shared" si="5"/>
        <v>0</v>
      </c>
    </row>
    <row r="8" spans="1:13" x14ac:dyDescent="0.25">
      <c r="A8" s="14" t="s">
        <v>21</v>
      </c>
      <c r="B8" s="22">
        <f>VLOOKUP(A:A,Sheet1!A:F,6,0)</f>
        <v>821</v>
      </c>
      <c r="C8" s="22">
        <f>VLOOKUP(A:A,Sheet1!A:G,7,0)</f>
        <v>148</v>
      </c>
      <c r="D8" s="22">
        <f t="shared" si="4"/>
        <v>673</v>
      </c>
      <c r="E8" s="12">
        <f t="shared" si="3"/>
        <v>0.18026796589524968</v>
      </c>
      <c r="F8" s="6"/>
      <c r="G8" s="23"/>
      <c r="H8" s="23"/>
      <c r="I8" s="23"/>
      <c r="J8" s="23"/>
      <c r="K8" s="23"/>
      <c r="L8" s="6"/>
      <c r="M8" s="24">
        <f t="shared" si="5"/>
        <v>0</v>
      </c>
    </row>
    <row r="9" spans="1:13" x14ac:dyDescent="0.25">
      <c r="A9" s="14" t="s">
        <v>26</v>
      </c>
      <c r="B9" s="22">
        <f>VLOOKUP(A:A,Sheet1!A:F,6,0)</f>
        <v>507</v>
      </c>
      <c r="C9" s="22">
        <f>VLOOKUP(A:A,Sheet1!A:G,7,0)</f>
        <v>51</v>
      </c>
      <c r="D9" s="22">
        <f t="shared" si="4"/>
        <v>456</v>
      </c>
      <c r="E9" s="12">
        <f t="shared" si="3"/>
        <v>0.10059171597633136</v>
      </c>
      <c r="F9" s="6"/>
      <c r="G9" s="23"/>
      <c r="H9" s="23"/>
      <c r="I9" s="23"/>
      <c r="J9" s="23">
        <v>1</v>
      </c>
      <c r="K9" s="23">
        <v>1</v>
      </c>
      <c r="L9" s="6"/>
      <c r="M9" s="24">
        <f t="shared" si="5"/>
        <v>2</v>
      </c>
    </row>
    <row r="10" spans="1:13" x14ac:dyDescent="0.25">
      <c r="A10" s="14" t="s">
        <v>31</v>
      </c>
      <c r="B10" s="22">
        <f>VLOOKUP(A:A,Sheet1!A:F,6,0)</f>
        <v>488</v>
      </c>
      <c r="C10" s="22">
        <f>VLOOKUP(A:A,Sheet1!A:G,7,0)</f>
        <v>57</v>
      </c>
      <c r="D10" s="22">
        <f t="shared" si="4"/>
        <v>431</v>
      </c>
      <c r="E10" s="12">
        <f t="shared" si="3"/>
        <v>0.11680327868852459</v>
      </c>
      <c r="F10" s="6"/>
      <c r="G10" s="23"/>
      <c r="H10" s="23"/>
      <c r="I10" s="23">
        <v>2</v>
      </c>
      <c r="J10" s="23">
        <v>1</v>
      </c>
      <c r="K10" s="23">
        <v>1</v>
      </c>
      <c r="L10" s="6"/>
      <c r="M10" s="24">
        <f t="shared" si="5"/>
        <v>4</v>
      </c>
    </row>
    <row r="11" spans="1:13" x14ac:dyDescent="0.25">
      <c r="A11" s="14" t="s">
        <v>35</v>
      </c>
      <c r="B11" s="22">
        <f>VLOOKUP(A:A,Sheet1!A:F,6,0)</f>
        <v>507</v>
      </c>
      <c r="C11" s="22">
        <f>VLOOKUP(A:A,Sheet1!A:G,7,0)</f>
        <v>41</v>
      </c>
      <c r="D11" s="22">
        <f t="shared" si="4"/>
        <v>466</v>
      </c>
      <c r="E11" s="12">
        <f t="shared" si="3"/>
        <v>8.0867850098619326E-2</v>
      </c>
      <c r="F11" s="6"/>
      <c r="G11" s="23"/>
      <c r="H11" s="23"/>
      <c r="I11" s="23">
        <v>2</v>
      </c>
      <c r="J11" s="23">
        <v>1</v>
      </c>
      <c r="K11" s="23"/>
      <c r="L11" s="6"/>
      <c r="M11" s="24">
        <f t="shared" si="5"/>
        <v>3</v>
      </c>
    </row>
    <row r="12" spans="1:13" x14ac:dyDescent="0.25">
      <c r="A12" s="15" t="s">
        <v>41</v>
      </c>
      <c r="B12" s="11">
        <f>SUM(B13:B19)</f>
        <v>3471</v>
      </c>
      <c r="C12" s="11">
        <f t="shared" ref="C12:D12" si="6">SUM(C13:C19)</f>
        <v>502</v>
      </c>
      <c r="D12" s="11">
        <f t="shared" si="6"/>
        <v>2969</v>
      </c>
      <c r="E12" s="12">
        <f t="shared" si="3"/>
        <v>0.14462690867185249</v>
      </c>
      <c r="F12" s="5"/>
      <c r="G12" s="20">
        <f t="shared" ref="G12:M12" si="7">SUM(G13:G19)</f>
        <v>2</v>
      </c>
      <c r="H12" s="20">
        <f t="shared" si="7"/>
        <v>1</v>
      </c>
      <c r="I12" s="20">
        <f t="shared" si="7"/>
        <v>7</v>
      </c>
      <c r="J12" s="20">
        <f t="shared" si="7"/>
        <v>6</v>
      </c>
      <c r="K12" s="20">
        <f t="shared" ref="K12" si="8">SUM(K13:K19)</f>
        <v>7</v>
      </c>
      <c r="L12" s="21"/>
      <c r="M12" s="20">
        <f t="shared" si="7"/>
        <v>23</v>
      </c>
    </row>
    <row r="13" spans="1:13" x14ac:dyDescent="0.25">
      <c r="A13" s="14" t="s">
        <v>42</v>
      </c>
      <c r="B13" s="22">
        <f>VLOOKUP(A:A,Sheet1!A:F,6,0)</f>
        <v>563</v>
      </c>
      <c r="C13" s="22">
        <f>VLOOKUP(A:A,Sheet1!A:G,7,0)</f>
        <v>62</v>
      </c>
      <c r="D13" s="22">
        <f>B13-C13</f>
        <v>501</v>
      </c>
      <c r="E13" s="12">
        <f t="shared" si="3"/>
        <v>0.11012433392539965</v>
      </c>
      <c r="F13" s="6"/>
      <c r="G13" s="23"/>
      <c r="H13" s="23">
        <v>1</v>
      </c>
      <c r="I13" s="23"/>
      <c r="J13" s="23">
        <v>2</v>
      </c>
      <c r="K13" s="23">
        <v>2</v>
      </c>
      <c r="L13" s="6"/>
      <c r="M13" s="24">
        <f>I13+H13+G13+J13+K13</f>
        <v>5</v>
      </c>
    </row>
    <row r="14" spans="1:13" x14ac:dyDescent="0.25">
      <c r="A14" s="14" t="s">
        <v>47</v>
      </c>
      <c r="B14" s="22">
        <f>VLOOKUP(A:A,Sheet1!A:F,6,0)</f>
        <v>485</v>
      </c>
      <c r="C14" s="22">
        <f>VLOOKUP(A:A,Sheet1!A:G,7,0)</f>
        <v>67</v>
      </c>
      <c r="D14" s="22">
        <f t="shared" ref="D14:D19" si="9">B14-C14</f>
        <v>418</v>
      </c>
      <c r="E14" s="12">
        <f t="shared" si="3"/>
        <v>0.13814432989690723</v>
      </c>
      <c r="F14" s="6"/>
      <c r="G14" s="23">
        <v>1</v>
      </c>
      <c r="H14" s="23"/>
      <c r="I14" s="23">
        <v>2</v>
      </c>
      <c r="J14" s="23">
        <v>2</v>
      </c>
      <c r="K14" s="23">
        <v>2</v>
      </c>
      <c r="L14" s="6"/>
      <c r="M14" s="24">
        <f t="shared" ref="M14:M36" si="10">I14+H14+G14+J14+K14</f>
        <v>7</v>
      </c>
    </row>
    <row r="15" spans="1:13" x14ac:dyDescent="0.25">
      <c r="A15" s="14" t="s">
        <v>53</v>
      </c>
      <c r="B15" s="22">
        <f>VLOOKUP(A:A,Sheet1!A:F,6,0)</f>
        <v>656</v>
      </c>
      <c r="C15" s="22">
        <f>VLOOKUP(A:A,Sheet1!A:G,7,0)</f>
        <v>116</v>
      </c>
      <c r="D15" s="22">
        <f t="shared" si="9"/>
        <v>540</v>
      </c>
      <c r="E15" s="12">
        <f t="shared" si="3"/>
        <v>0.17682926829268292</v>
      </c>
      <c r="F15" s="6"/>
      <c r="G15" s="23">
        <v>1</v>
      </c>
      <c r="H15" s="23"/>
      <c r="I15" s="23">
        <v>3</v>
      </c>
      <c r="J15" s="23"/>
      <c r="K15" s="23">
        <v>1</v>
      </c>
      <c r="L15" s="6"/>
      <c r="M15" s="24">
        <f t="shared" si="10"/>
        <v>5</v>
      </c>
    </row>
    <row r="16" spans="1:13" x14ac:dyDescent="0.25">
      <c r="A16" s="14" t="s">
        <v>59</v>
      </c>
      <c r="B16" s="22">
        <f>VLOOKUP(A:A,Sheet1!A:F,6,0)</f>
        <v>404</v>
      </c>
      <c r="C16" s="22">
        <f>VLOOKUP(A:A,Sheet1!A:G,7,0)</f>
        <v>63</v>
      </c>
      <c r="D16" s="22">
        <f t="shared" si="9"/>
        <v>341</v>
      </c>
      <c r="E16" s="12">
        <f t="shared" si="3"/>
        <v>0.15594059405940594</v>
      </c>
      <c r="F16" s="6"/>
      <c r="G16" s="23"/>
      <c r="H16" s="23"/>
      <c r="I16" s="23"/>
      <c r="J16" s="23">
        <v>1</v>
      </c>
      <c r="K16" s="23"/>
      <c r="L16" s="6"/>
      <c r="M16" s="24">
        <f t="shared" si="10"/>
        <v>1</v>
      </c>
    </row>
    <row r="17" spans="1:13" x14ac:dyDescent="0.25">
      <c r="A17" s="14" t="s">
        <v>62</v>
      </c>
      <c r="B17" s="22">
        <f>VLOOKUP(A:A,Sheet1!A:F,6,0)</f>
        <v>582</v>
      </c>
      <c r="C17" s="22">
        <f>VLOOKUP(A:A,Sheet1!A:G,7,0)</f>
        <v>92</v>
      </c>
      <c r="D17" s="22">
        <f t="shared" si="9"/>
        <v>490</v>
      </c>
      <c r="E17" s="12">
        <f t="shared" si="3"/>
        <v>0.15807560137457044</v>
      </c>
      <c r="F17" s="6"/>
      <c r="G17" s="23"/>
      <c r="H17" s="23"/>
      <c r="I17" s="23">
        <v>2</v>
      </c>
      <c r="J17" s="23"/>
      <c r="K17" s="23">
        <v>1</v>
      </c>
      <c r="L17" s="6"/>
      <c r="M17" s="24">
        <f t="shared" si="10"/>
        <v>3</v>
      </c>
    </row>
    <row r="18" spans="1:13" x14ac:dyDescent="0.25">
      <c r="A18" s="14" t="s">
        <v>69</v>
      </c>
      <c r="B18" s="22">
        <f>VLOOKUP(A:A,Sheet1!A:F,6,0)</f>
        <v>520</v>
      </c>
      <c r="C18" s="22">
        <f>VLOOKUP(A:A,Sheet1!A:G,7,0)</f>
        <v>66</v>
      </c>
      <c r="D18" s="22">
        <f t="shared" si="9"/>
        <v>454</v>
      </c>
      <c r="E18" s="12">
        <f t="shared" si="3"/>
        <v>0.12692307692307692</v>
      </c>
      <c r="F18" s="6"/>
      <c r="G18" s="23"/>
      <c r="H18" s="23"/>
      <c r="I18" s="23"/>
      <c r="J18" s="23">
        <v>1</v>
      </c>
      <c r="K18" s="23">
        <v>1</v>
      </c>
      <c r="L18" s="6"/>
      <c r="M18" s="24">
        <f t="shared" si="10"/>
        <v>2</v>
      </c>
    </row>
    <row r="19" spans="1:13" x14ac:dyDescent="0.25">
      <c r="A19" s="14" t="s">
        <v>75</v>
      </c>
      <c r="B19" s="22">
        <f>VLOOKUP(A:A,Sheet1!A:F,6,0)</f>
        <v>261</v>
      </c>
      <c r="C19" s="22">
        <f>VLOOKUP(A:A,Sheet1!A:G,7,0)</f>
        <v>36</v>
      </c>
      <c r="D19" s="22">
        <f t="shared" si="9"/>
        <v>225</v>
      </c>
      <c r="E19" s="12">
        <f t="shared" si="3"/>
        <v>0.13793103448275862</v>
      </c>
      <c r="F19" s="6"/>
      <c r="G19" s="23"/>
      <c r="H19" s="23"/>
      <c r="I19" s="23"/>
      <c r="J19" s="23"/>
      <c r="K19" s="23"/>
      <c r="L19" s="6"/>
      <c r="M19" s="24">
        <f t="shared" si="10"/>
        <v>0</v>
      </c>
    </row>
    <row r="20" spans="1:13" x14ac:dyDescent="0.25">
      <c r="A20" s="15" t="s">
        <v>78</v>
      </c>
      <c r="B20" s="16">
        <f>SUM(B21:B22)</f>
        <v>979</v>
      </c>
      <c r="C20" s="16">
        <f t="shared" ref="C20:D20" si="11">SUM(C21:C22)</f>
        <v>72</v>
      </c>
      <c r="D20" s="16">
        <f t="shared" si="11"/>
        <v>907</v>
      </c>
      <c r="E20" s="12">
        <f t="shared" si="3"/>
        <v>7.3544433094994893E-2</v>
      </c>
      <c r="F20" s="5"/>
      <c r="G20" s="20">
        <f t="shared" ref="G20:M20" si="12">SUM(G21:G22)</f>
        <v>1</v>
      </c>
      <c r="H20" s="20">
        <f t="shared" si="12"/>
        <v>0</v>
      </c>
      <c r="I20" s="20">
        <f t="shared" si="12"/>
        <v>4</v>
      </c>
      <c r="J20" s="20">
        <f t="shared" si="12"/>
        <v>3</v>
      </c>
      <c r="K20" s="20">
        <f t="shared" ref="K20" si="13">SUM(K21:K22)</f>
        <v>4</v>
      </c>
      <c r="L20" s="21"/>
      <c r="M20" s="20">
        <f t="shared" si="12"/>
        <v>12</v>
      </c>
    </row>
    <row r="21" spans="1:13" x14ac:dyDescent="0.25">
      <c r="A21" s="14" t="s">
        <v>79</v>
      </c>
      <c r="B21" s="22">
        <f>VLOOKUP(A:A,Sheet1!A:F,6,0)</f>
        <v>544</v>
      </c>
      <c r="C21" s="22">
        <f>VLOOKUP(A:A,Sheet1!A:G,7,0)</f>
        <v>38</v>
      </c>
      <c r="D21" s="22">
        <f t="shared" ref="D21:D22" si="14">B21-C21</f>
        <v>506</v>
      </c>
      <c r="E21" s="12">
        <f t="shared" si="3"/>
        <v>6.985294117647059E-2</v>
      </c>
      <c r="F21" s="6"/>
      <c r="G21" s="23">
        <v>1</v>
      </c>
      <c r="H21" s="23"/>
      <c r="I21" s="23">
        <v>2</v>
      </c>
      <c r="J21" s="23">
        <v>1</v>
      </c>
      <c r="K21" s="23">
        <v>3</v>
      </c>
      <c r="L21" s="6"/>
      <c r="M21" s="24">
        <f t="shared" si="10"/>
        <v>7</v>
      </c>
    </row>
    <row r="22" spans="1:13" x14ac:dyDescent="0.25">
      <c r="A22" s="14" t="s">
        <v>85</v>
      </c>
      <c r="B22" s="22">
        <f>VLOOKUP(A:A,Sheet1!A:F,6,0)</f>
        <v>435</v>
      </c>
      <c r="C22" s="22">
        <f>VLOOKUP(A:A,Sheet1!A:G,7,0)</f>
        <v>34</v>
      </c>
      <c r="D22" s="22">
        <f t="shared" si="14"/>
        <v>401</v>
      </c>
      <c r="E22" s="12">
        <f t="shared" si="3"/>
        <v>7.8160919540229884E-2</v>
      </c>
      <c r="F22" s="6"/>
      <c r="G22" s="23"/>
      <c r="H22" s="23"/>
      <c r="I22" s="23">
        <v>2</v>
      </c>
      <c r="J22" s="23">
        <v>2</v>
      </c>
      <c r="K22" s="23">
        <v>1</v>
      </c>
      <c r="L22" s="6"/>
      <c r="M22" s="24">
        <f t="shared" si="10"/>
        <v>5</v>
      </c>
    </row>
    <row r="23" spans="1:13" x14ac:dyDescent="0.25">
      <c r="A23" s="15" t="s">
        <v>90</v>
      </c>
      <c r="B23" s="11">
        <f>SUM(B24:B28)</f>
        <v>3331</v>
      </c>
      <c r="C23" s="11">
        <f t="shared" ref="C23:D23" si="15">SUM(C24:C28)</f>
        <v>404</v>
      </c>
      <c r="D23" s="11">
        <f t="shared" si="15"/>
        <v>2927</v>
      </c>
      <c r="E23" s="12">
        <f t="shared" si="3"/>
        <v>0.12128489942960072</v>
      </c>
      <c r="F23" s="5"/>
      <c r="G23" s="20">
        <f t="shared" ref="G23:M23" si="16">SUM(G24:G28)</f>
        <v>1</v>
      </c>
      <c r="H23" s="20">
        <f t="shared" si="16"/>
        <v>0</v>
      </c>
      <c r="I23" s="20">
        <f t="shared" si="16"/>
        <v>3</v>
      </c>
      <c r="J23" s="20">
        <f t="shared" si="16"/>
        <v>6</v>
      </c>
      <c r="K23" s="20">
        <f t="shared" ref="K23" si="17">SUM(K24:K28)</f>
        <v>4</v>
      </c>
      <c r="L23" s="21"/>
      <c r="M23" s="20">
        <f t="shared" si="16"/>
        <v>14</v>
      </c>
    </row>
    <row r="24" spans="1:13" x14ac:dyDescent="0.25">
      <c r="A24" s="14" t="s">
        <v>91</v>
      </c>
      <c r="B24" s="22">
        <f>VLOOKUP(A:A,Sheet1!A:F,6,0)</f>
        <v>698</v>
      </c>
      <c r="C24" s="22">
        <f>VLOOKUP(A:A,Sheet1!A:G,7,0)</f>
        <v>83</v>
      </c>
      <c r="D24" s="22">
        <f t="shared" ref="D24:D28" si="18">B24-C24</f>
        <v>615</v>
      </c>
      <c r="E24" s="12">
        <f t="shared" si="3"/>
        <v>0.11891117478510028</v>
      </c>
      <c r="F24" s="25"/>
      <c r="G24" s="23">
        <v>1</v>
      </c>
      <c r="H24" s="23"/>
      <c r="I24" s="23"/>
      <c r="J24" s="23">
        <v>1</v>
      </c>
      <c r="K24" s="23">
        <v>1</v>
      </c>
      <c r="L24" s="6"/>
      <c r="M24" s="24">
        <f t="shared" si="10"/>
        <v>3</v>
      </c>
    </row>
    <row r="25" spans="1:13" x14ac:dyDescent="0.25">
      <c r="A25" s="14" t="s">
        <v>98</v>
      </c>
      <c r="B25" s="22">
        <f>VLOOKUP(A:A,Sheet1!A:F,6,0)</f>
        <v>933</v>
      </c>
      <c r="C25" s="22">
        <f>VLOOKUP(A:A,Sheet1!A:G,7,0)</f>
        <v>139</v>
      </c>
      <c r="D25" s="22">
        <f t="shared" si="18"/>
        <v>794</v>
      </c>
      <c r="E25" s="12">
        <f t="shared" si="3"/>
        <v>0.14898177920685959</v>
      </c>
      <c r="F25" s="25"/>
      <c r="G25" s="23"/>
      <c r="H25" s="23"/>
      <c r="I25" s="23">
        <v>1</v>
      </c>
      <c r="J25" s="23">
        <v>2</v>
      </c>
      <c r="K25" s="23">
        <v>1</v>
      </c>
      <c r="L25" s="6"/>
      <c r="M25" s="24">
        <f t="shared" si="10"/>
        <v>4</v>
      </c>
    </row>
    <row r="26" spans="1:13" x14ac:dyDescent="0.25">
      <c r="A26" s="14" t="s">
        <v>107</v>
      </c>
      <c r="B26" s="22">
        <f>VLOOKUP(A:A,Sheet1!A:F,6,0)</f>
        <v>661</v>
      </c>
      <c r="C26" s="22">
        <f>VLOOKUP(A:A,Sheet1!A:G,7,0)</f>
        <v>79</v>
      </c>
      <c r="D26" s="22">
        <f t="shared" si="18"/>
        <v>582</v>
      </c>
      <c r="E26" s="12">
        <f t="shared" si="3"/>
        <v>0.11951588502269289</v>
      </c>
      <c r="F26" s="6"/>
      <c r="G26" s="23"/>
      <c r="H26" s="23"/>
      <c r="I26" s="23">
        <v>1</v>
      </c>
      <c r="J26" s="23"/>
      <c r="K26" s="23">
        <v>1</v>
      </c>
      <c r="L26" s="6"/>
      <c r="M26" s="24">
        <f t="shared" si="10"/>
        <v>2</v>
      </c>
    </row>
    <row r="27" spans="1:13" x14ac:dyDescent="0.25">
      <c r="A27" s="14" t="s">
        <v>113</v>
      </c>
      <c r="B27" s="22">
        <f>VLOOKUP(A:A,Sheet1!A:F,6,0)</f>
        <v>350</v>
      </c>
      <c r="C27" s="22">
        <f>VLOOKUP(A:A,Sheet1!A:G,7,0)</f>
        <v>34</v>
      </c>
      <c r="D27" s="22">
        <f t="shared" si="18"/>
        <v>316</v>
      </c>
      <c r="E27" s="12">
        <f t="shared" si="3"/>
        <v>9.7142857142857142E-2</v>
      </c>
      <c r="F27" s="6"/>
      <c r="G27" s="23"/>
      <c r="H27" s="23"/>
      <c r="I27" s="23"/>
      <c r="J27" s="23">
        <v>2</v>
      </c>
      <c r="K27" s="23"/>
      <c r="L27" s="6"/>
      <c r="M27" s="24">
        <f t="shared" si="10"/>
        <v>2</v>
      </c>
    </row>
    <row r="28" spans="1:13" x14ac:dyDescent="0.25">
      <c r="A28" s="14" t="s">
        <v>118</v>
      </c>
      <c r="B28" s="22">
        <f>VLOOKUP(A:A,Sheet1!A:F,6,0)</f>
        <v>689</v>
      </c>
      <c r="C28" s="22">
        <f>VLOOKUP(A:A,Sheet1!A:G,7,0)</f>
        <v>69</v>
      </c>
      <c r="D28" s="22">
        <f t="shared" si="18"/>
        <v>620</v>
      </c>
      <c r="E28" s="12">
        <f t="shared" si="3"/>
        <v>0.10014513788098693</v>
      </c>
      <c r="F28" s="25"/>
      <c r="G28" s="23"/>
      <c r="H28" s="23"/>
      <c r="I28" s="23">
        <v>1</v>
      </c>
      <c r="J28" s="23">
        <v>1</v>
      </c>
      <c r="K28" s="23">
        <v>1</v>
      </c>
      <c r="L28" s="6"/>
      <c r="M28" s="24">
        <f t="shared" si="10"/>
        <v>3</v>
      </c>
    </row>
    <row r="29" spans="1:13" x14ac:dyDescent="0.25">
      <c r="A29" s="15" t="s">
        <v>127</v>
      </c>
      <c r="B29" s="11">
        <f>SUM(B30:B33)</f>
        <v>3279</v>
      </c>
      <c r="C29" s="11">
        <f t="shared" ref="C29:D29" si="19">SUM(C30:C33)</f>
        <v>322</v>
      </c>
      <c r="D29" s="11">
        <f t="shared" si="19"/>
        <v>2957</v>
      </c>
      <c r="E29" s="12">
        <f t="shared" si="3"/>
        <v>9.8200670936261059E-2</v>
      </c>
      <c r="F29" s="5"/>
      <c r="G29" s="20">
        <f>SUM(G30:G33)</f>
        <v>2</v>
      </c>
      <c r="H29" s="20">
        <f t="shared" ref="H29" si="20">SUM(H30:H33)</f>
        <v>0</v>
      </c>
      <c r="I29" s="20">
        <f>SUM(I30:I33)</f>
        <v>0</v>
      </c>
      <c r="J29" s="20">
        <f>SUM(J30:J33)</f>
        <v>5</v>
      </c>
      <c r="K29" s="20">
        <f>SUM(K30:K33)</f>
        <v>4</v>
      </c>
      <c r="L29" s="21"/>
      <c r="M29" s="20">
        <f>SUM(M30:M33)</f>
        <v>11</v>
      </c>
    </row>
    <row r="30" spans="1:13" x14ac:dyDescent="0.25">
      <c r="A30" s="14" t="s">
        <v>128</v>
      </c>
      <c r="B30" s="22">
        <f>VLOOKUP(A:A,Sheet1!A:F,6,0)</f>
        <v>399</v>
      </c>
      <c r="C30" s="22">
        <f>VLOOKUP(A:A,Sheet1!A:G,7,0)</f>
        <v>36</v>
      </c>
      <c r="D30" s="22">
        <f t="shared" ref="D30:D32" si="21">B30-C30</f>
        <v>363</v>
      </c>
      <c r="E30" s="12">
        <f t="shared" si="3"/>
        <v>9.0225563909774431E-2</v>
      </c>
      <c r="F30" s="6"/>
      <c r="G30" s="23"/>
      <c r="H30" s="23"/>
      <c r="I30" s="23"/>
      <c r="J30" s="23">
        <v>1</v>
      </c>
      <c r="K30" s="23">
        <v>1</v>
      </c>
      <c r="L30" s="6"/>
      <c r="M30" s="24">
        <f t="shared" si="10"/>
        <v>2</v>
      </c>
    </row>
    <row r="31" spans="1:13" x14ac:dyDescent="0.25">
      <c r="A31" s="14" t="s">
        <v>134</v>
      </c>
      <c r="B31" s="22">
        <f>VLOOKUP(A:A,Sheet1!A:F,6,0)</f>
        <v>967</v>
      </c>
      <c r="C31" s="22">
        <f>VLOOKUP(A:A,Sheet1!A:G,7,0)</f>
        <v>106</v>
      </c>
      <c r="D31" s="22">
        <f t="shared" si="21"/>
        <v>861</v>
      </c>
      <c r="E31" s="12">
        <f t="shared" si="3"/>
        <v>0.10961737331954498</v>
      </c>
      <c r="F31" s="6"/>
      <c r="G31" s="23"/>
      <c r="H31" s="23"/>
      <c r="I31" s="23"/>
      <c r="J31" s="23">
        <v>2</v>
      </c>
      <c r="K31" s="23">
        <v>2</v>
      </c>
      <c r="L31" s="6"/>
      <c r="M31" s="24">
        <f t="shared" si="10"/>
        <v>4</v>
      </c>
    </row>
    <row r="32" spans="1:13" x14ac:dyDescent="0.25">
      <c r="A32" s="14" t="s">
        <v>142</v>
      </c>
      <c r="B32" s="22">
        <f>VLOOKUP(A:A,Sheet1!A:F,6,0)</f>
        <v>860</v>
      </c>
      <c r="C32" s="22">
        <f>VLOOKUP(A:A,Sheet1!A:G,7,0)</f>
        <v>108</v>
      </c>
      <c r="D32" s="22">
        <f t="shared" si="21"/>
        <v>752</v>
      </c>
      <c r="E32" s="12">
        <f t="shared" si="3"/>
        <v>0.12558139534883722</v>
      </c>
      <c r="F32" s="6"/>
      <c r="G32" s="23"/>
      <c r="H32" s="23"/>
      <c r="I32" s="23"/>
      <c r="J32" s="23">
        <v>2</v>
      </c>
      <c r="K32" s="23"/>
      <c r="L32" s="6"/>
      <c r="M32" s="24">
        <f t="shared" si="10"/>
        <v>2</v>
      </c>
    </row>
    <row r="33" spans="1:13" x14ac:dyDescent="0.25">
      <c r="A33" s="14" t="s">
        <v>149</v>
      </c>
      <c r="B33" s="22">
        <f>VLOOKUP(A:A,Sheet1!A:F,6,0)</f>
        <v>1053</v>
      </c>
      <c r="C33" s="22">
        <f>VLOOKUP(A:A,Sheet1!A:G,7,0)</f>
        <v>72</v>
      </c>
      <c r="D33" s="22">
        <f>B33-C33</f>
        <v>981</v>
      </c>
      <c r="E33" s="12">
        <f>C33/B33</f>
        <v>6.8376068376068383E-2</v>
      </c>
      <c r="F33" s="25"/>
      <c r="G33" s="23">
        <v>2</v>
      </c>
      <c r="H33" s="23"/>
      <c r="I33" s="23"/>
      <c r="J33" s="26" t="s">
        <v>188</v>
      </c>
      <c r="K33" s="31">
        <v>1</v>
      </c>
      <c r="L33" s="6"/>
      <c r="M33" s="24">
        <f>I33+H33+G33+K33</f>
        <v>3</v>
      </c>
    </row>
    <row r="34" spans="1:13" x14ac:dyDescent="0.25">
      <c r="A34" s="15" t="s">
        <v>151</v>
      </c>
      <c r="B34" s="17">
        <f>SUM(B35:B36)</f>
        <v>1507</v>
      </c>
      <c r="C34" s="17">
        <f t="shared" ref="C34:D34" si="22">SUM(C35:C36)</f>
        <v>153</v>
      </c>
      <c r="D34" s="17">
        <f t="shared" si="22"/>
        <v>1354</v>
      </c>
      <c r="E34" s="12">
        <f t="shared" si="3"/>
        <v>0.10152621101526212</v>
      </c>
      <c r="F34" s="5"/>
      <c r="G34" s="20">
        <f>SUM(G35:G36)</f>
        <v>1</v>
      </c>
      <c r="H34" s="20">
        <f>SUM(H35:H36)</f>
        <v>0</v>
      </c>
      <c r="I34" s="20">
        <f>SUM(I35:I36)</f>
        <v>0</v>
      </c>
      <c r="J34" s="20">
        <f>SUM(J35:J36)</f>
        <v>1</v>
      </c>
      <c r="K34" s="20">
        <f>SUM(K35:K36)</f>
        <v>5</v>
      </c>
      <c r="L34" s="21"/>
      <c r="M34" s="20">
        <f>SUM(M35:M36)</f>
        <v>7</v>
      </c>
    </row>
    <row r="35" spans="1:13" x14ac:dyDescent="0.25">
      <c r="A35" s="14" t="s">
        <v>156</v>
      </c>
      <c r="B35" s="22">
        <f>VLOOKUP(A:A,Sheet1!A:F,6,0)</f>
        <v>812</v>
      </c>
      <c r="C35" s="22">
        <f>VLOOKUP(A:A,Sheet1!A:G,7,0)</f>
        <v>84</v>
      </c>
      <c r="D35" s="22">
        <f t="shared" ref="D35:D36" si="23">B35-C35</f>
        <v>728</v>
      </c>
      <c r="E35" s="12">
        <f t="shared" si="3"/>
        <v>0.10344827586206896</v>
      </c>
      <c r="F35" s="25"/>
      <c r="G35" s="23">
        <v>1</v>
      </c>
      <c r="H35" s="23"/>
      <c r="I35" s="23"/>
      <c r="J35" s="23"/>
      <c r="K35" s="23">
        <v>3</v>
      </c>
      <c r="L35" s="6"/>
      <c r="M35" s="24">
        <f t="shared" si="10"/>
        <v>4</v>
      </c>
    </row>
    <row r="36" spans="1:13" x14ac:dyDescent="0.25">
      <c r="A36" s="14" t="s">
        <v>163</v>
      </c>
      <c r="B36" s="22">
        <f>VLOOKUP(A:A,Sheet1!A:F,6,0)</f>
        <v>695</v>
      </c>
      <c r="C36" s="22">
        <f>VLOOKUP(A:A,Sheet1!A:G,7,0)</f>
        <v>69</v>
      </c>
      <c r="D36" s="22">
        <f t="shared" si="23"/>
        <v>626</v>
      </c>
      <c r="E36" s="12">
        <f t="shared" si="3"/>
        <v>9.9280575539568344E-2</v>
      </c>
      <c r="F36" s="25"/>
      <c r="G36" s="23"/>
      <c r="H36" s="23"/>
      <c r="I36" s="23"/>
      <c r="J36" s="23">
        <v>1</v>
      </c>
      <c r="K36" s="23">
        <v>2</v>
      </c>
      <c r="L36" s="6"/>
      <c r="M36" s="24">
        <f t="shared" si="10"/>
        <v>3</v>
      </c>
    </row>
    <row r="37" spans="1:13" x14ac:dyDescent="0.25">
      <c r="A37" s="27" t="s">
        <v>176</v>
      </c>
      <c r="B37" s="13">
        <f>B34+B29+B23+B20+B12+B4</f>
        <v>15809</v>
      </c>
      <c r="C37" s="13">
        <f t="shared" ref="C37:D37" si="24">C34+C29+C23+C20+C12+C4</f>
        <v>1856</v>
      </c>
      <c r="D37" s="13">
        <f t="shared" si="24"/>
        <v>13953</v>
      </c>
      <c r="E37" s="12">
        <f t="shared" si="3"/>
        <v>0.11740148016952369</v>
      </c>
      <c r="F37" s="5"/>
      <c r="G37" s="20">
        <f>G34+G29+G23+G20+G12+G4</f>
        <v>7</v>
      </c>
      <c r="H37" s="20">
        <f>H34+H29+H23+H20+H12+H4</f>
        <v>1</v>
      </c>
      <c r="I37" s="20">
        <f>I34+I29+I23+I20+I12+I4</f>
        <v>18</v>
      </c>
      <c r="J37" s="20">
        <f>J34+J29+J23+J20+J12+J4</f>
        <v>24</v>
      </c>
      <c r="K37" s="20">
        <f>K34+K29+K23+K20+K12+K4</f>
        <v>26</v>
      </c>
      <c r="L37" s="21"/>
      <c r="M37" s="20">
        <f>M34+M29+M23+M20+M12+M4</f>
        <v>76</v>
      </c>
    </row>
    <row r="38" spans="1:13" x14ac:dyDescent="0.25">
      <c r="E38" s="6"/>
      <c r="F38" s="5"/>
      <c r="G38" s="6"/>
      <c r="H38" s="6"/>
      <c r="I38" s="6"/>
      <c r="J38" s="6"/>
      <c r="K38" s="6"/>
      <c r="L38" s="6"/>
    </row>
    <row r="39" spans="1:13" x14ac:dyDescent="0.25">
      <c r="E39" s="6"/>
      <c r="F39" s="5" t="s">
        <v>189</v>
      </c>
      <c r="G39" s="10">
        <v>2</v>
      </c>
      <c r="H39" s="10"/>
      <c r="I39" s="10">
        <v>2</v>
      </c>
      <c r="J39" s="10">
        <v>7</v>
      </c>
      <c r="K39" s="10">
        <v>9</v>
      </c>
      <c r="L39" s="5"/>
      <c r="M39" s="24">
        <f t="shared" ref="M39:M42" si="25">I39+H39+G39+J39+K39</f>
        <v>20</v>
      </c>
    </row>
    <row r="40" spans="1:13" x14ac:dyDescent="0.25">
      <c r="E40" s="6"/>
      <c r="F40" s="5" t="s">
        <v>190</v>
      </c>
      <c r="G40" s="10">
        <v>4</v>
      </c>
      <c r="H40" s="10">
        <v>3</v>
      </c>
      <c r="I40" s="10">
        <v>14</v>
      </c>
      <c r="J40" s="10">
        <v>7</v>
      </c>
      <c r="K40" s="10">
        <v>4</v>
      </c>
      <c r="L40" s="5"/>
      <c r="M40" s="24">
        <f t="shared" si="25"/>
        <v>32</v>
      </c>
    </row>
    <row r="41" spans="1:13" x14ac:dyDescent="0.25">
      <c r="E41" s="6"/>
      <c r="F41" s="5" t="s">
        <v>191</v>
      </c>
      <c r="G41" s="10"/>
      <c r="H41" s="10"/>
      <c r="I41" s="10"/>
      <c r="J41" s="10"/>
      <c r="K41" s="10">
        <v>1</v>
      </c>
      <c r="L41" s="5"/>
      <c r="M41" s="24">
        <f t="shared" si="25"/>
        <v>1</v>
      </c>
    </row>
    <row r="42" spans="1:13" x14ac:dyDescent="0.25">
      <c r="A42" s="29"/>
      <c r="B42" s="29"/>
      <c r="C42" s="29"/>
      <c r="D42" s="29"/>
      <c r="E42" s="5"/>
      <c r="F42" s="5" t="s">
        <v>192</v>
      </c>
      <c r="G42" s="28">
        <f t="shared" ref="G42:J42" si="26">SUM(G37:G41)</f>
        <v>13</v>
      </c>
      <c r="H42" s="28">
        <f t="shared" si="26"/>
        <v>4</v>
      </c>
      <c r="I42" s="28">
        <f t="shared" si="26"/>
        <v>34</v>
      </c>
      <c r="J42" s="28">
        <f t="shared" si="26"/>
        <v>38</v>
      </c>
      <c r="K42" s="28">
        <f t="shared" ref="K42" si="27">SUM(K37:K41)</f>
        <v>40</v>
      </c>
      <c r="L42" s="30"/>
      <c r="M42" s="28">
        <f t="shared" si="25"/>
        <v>129</v>
      </c>
    </row>
  </sheetData>
  <conditionalFormatting sqref="E3:E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Seizing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SREEDEVI</dc:creator>
  <cp:lastModifiedBy>USER</cp:lastModifiedBy>
  <dcterms:created xsi:type="dcterms:W3CDTF">2015-06-05T18:17:20Z</dcterms:created>
  <dcterms:modified xsi:type="dcterms:W3CDTF">2025-11-06T12:37:14Z</dcterms:modified>
</cp:coreProperties>
</file>